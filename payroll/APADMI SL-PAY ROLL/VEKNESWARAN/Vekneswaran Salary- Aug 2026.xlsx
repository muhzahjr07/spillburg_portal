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s\User\Desktop\"/>
    </mc:Choice>
  </mc:AlternateContent>
  <xr:revisionPtr revIDLastSave="0" documentId="13_ncr:1_{E1B3BDDF-65A9-44AA-ADFF-73F75D41D536}" xr6:coauthVersionLast="47" xr6:coauthVersionMax="47" xr10:uidLastSave="{00000000-0000-0000-0000-000000000000}"/>
  <bookViews>
    <workbookView xWindow="-120" yWindow="-120" windowWidth="20640" windowHeight="11040" xr2:uid="{3E445056-BAB9-4B9F-B217-EE10FDCD622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31" i="1" l="1"/>
  <c r="C23" i="1"/>
  <c r="C24" i="1" s="1"/>
  <c r="C19" i="1"/>
  <c r="C33" i="1" s="1"/>
</calcChain>
</file>

<file path=xl/sharedStrings.xml><?xml version="1.0" encoding="utf-8"?>
<sst xmlns="http://schemas.openxmlformats.org/spreadsheetml/2006/main" count="26" uniqueCount="26">
  <si>
    <t>APADMI SL (PRIVATE)LIMITED</t>
  </si>
  <si>
    <t>Monthly Payroll 2026-2027</t>
  </si>
  <si>
    <t>EPF NO :04</t>
  </si>
  <si>
    <t>Month</t>
  </si>
  <si>
    <t>Name</t>
  </si>
  <si>
    <t>LKR</t>
  </si>
  <si>
    <r>
      <rPr>
        <sz val="10"/>
        <color theme="1"/>
        <rFont val="Times New Roman"/>
        <family val="1"/>
      </rPr>
      <t xml:space="preserve">Basic Pay </t>
    </r>
    <r>
      <rPr>
        <sz val="8"/>
        <color theme="1"/>
        <rFont val="Times New Roman"/>
        <family val="1"/>
      </rPr>
      <t>(GBP 1439.85) 29DAYS</t>
    </r>
  </si>
  <si>
    <t>Special  Allowance</t>
  </si>
  <si>
    <t>.@440</t>
  </si>
  <si>
    <t>Total (Gross)</t>
  </si>
  <si>
    <t>(-) No Pay/Late</t>
  </si>
  <si>
    <t>Net total</t>
  </si>
  <si>
    <t>Gross Pay</t>
  </si>
  <si>
    <t>(-)EPF 8%</t>
  </si>
  <si>
    <t>(-)Advance</t>
  </si>
  <si>
    <t>(-) Loan</t>
  </si>
  <si>
    <t>(-) APIT</t>
  </si>
  <si>
    <t>Total Deduction</t>
  </si>
  <si>
    <t>Balance Pay</t>
  </si>
  <si>
    <t>EPF  12%</t>
  </si>
  <si>
    <t>ETF  3%</t>
  </si>
  <si>
    <t>…..........................................</t>
  </si>
  <si>
    <t>Signature</t>
  </si>
  <si>
    <t>Spillburg Holdings (Pvt)ltd</t>
  </si>
  <si>
    <t xml:space="preserve">Office 14, Basement Level </t>
  </si>
  <si>
    <t>Cinnamon Lake side  Hotel  -Colombo 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</si>
</sst>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sz val="8"/>
      <color theme="1"/>
      <name val="Times New Roman"/>
      <family val="1"/>
    </font>
    <font>
      <sz val="9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3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 style="thin">
        <color indexed="64"/>
      </left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" fillId="0" borderId="0" applyNumberFormat="0" applyFill="0" applyBorder="0" applyAlignment="0" applyProtection="0"/>
  </cellStyleXfs>
  <cellXfs count="46">
    <xf numFmtId="0" fontId="0" fillId="0" borderId="0" xfId="0"/>
    <xf numFmtId="0" fontId="3" fillId="0" borderId="0" xfId="0" applyFont="1"/>
    <xf numFmtId="0" fontId="4" fillId="0" borderId="0" xfId="0" applyFont="1"/>
    <xf numFmtId="0" fontId="3" fillId="0" borderId="1" xfId="0" applyFont="1" applyBorder="1"/>
    <xf numFmtId="0" fontId="3" fillId="0" borderId="2" xfId="0" applyFont="1" applyBorder="1"/>
    <xf numFmtId="0" fontId="3" fillId="0" borderId="3" xfId="0" applyFont="1" applyBorder="1"/>
    <xf numFmtId="0" fontId="3" fillId="0" borderId="4" xfId="0" applyFont="1" applyBorder="1"/>
    <xf numFmtId="0" fontId="4" fillId="0" borderId="3" xfId="0" applyFont="1" applyBorder="1"/>
    <xf numFmtId="0" fontId="4" fillId="0" borderId="4" xfId="0" applyFont="1" applyBorder="1"/>
    <xf numFmtId="0" fontId="3" fillId="0" borderId="5" xfId="0" applyFont="1" applyBorder="1"/>
    <xf numFmtId="17" fontId="3" fillId="0" borderId="6" xfId="0" applyNumberFormat="1" applyFont="1" applyBorder="1"/>
    <xf numFmtId="0" fontId="4" fillId="0" borderId="7" xfId="0" applyFont="1" applyBorder="1"/>
    <xf numFmtId="0" fontId="4" fillId="0" borderId="8" xfId="0" applyFont="1" applyBorder="1"/>
    <xf numFmtId="0" fontId="3" fillId="0" borderId="9" xfId="0" applyFont="1" applyBorder="1"/>
    <xf numFmtId="0" fontId="3" fillId="0" borderId="10" xfId="0" applyFont="1" applyBorder="1"/>
    <xf numFmtId="0" fontId="3" fillId="0" borderId="11" xfId="0" applyFont="1" applyBorder="1"/>
    <xf numFmtId="0" fontId="4" fillId="0" borderId="4" xfId="0" applyFont="1" applyBorder="1" applyAlignment="1">
      <alignment horizontal="center"/>
    </xf>
    <xf numFmtId="0" fontId="5" fillId="0" borderId="12" xfId="0" applyFont="1" applyBorder="1"/>
    <xf numFmtId="43" fontId="4" fillId="0" borderId="13" xfId="1" applyFont="1" applyBorder="1"/>
    <xf numFmtId="0" fontId="6" fillId="0" borderId="14" xfId="0" applyFont="1" applyBorder="1"/>
    <xf numFmtId="43" fontId="4" fillId="0" borderId="15" xfId="1" applyFont="1" applyBorder="1"/>
    <xf numFmtId="0" fontId="2" fillId="0" borderId="16" xfId="2" applyBorder="1"/>
    <xf numFmtId="43" fontId="4" fillId="0" borderId="17" xfId="1" applyFont="1" applyBorder="1"/>
    <xf numFmtId="0" fontId="6" fillId="0" borderId="16" xfId="0" applyFont="1" applyBorder="1"/>
    <xf numFmtId="0" fontId="4" fillId="0" borderId="16" xfId="0" applyFont="1" applyBorder="1"/>
    <xf numFmtId="0" fontId="3" fillId="0" borderId="18" xfId="0" applyFont="1" applyBorder="1"/>
    <xf numFmtId="43" fontId="4" fillId="0" borderId="19" xfId="1" applyFont="1" applyBorder="1"/>
    <xf numFmtId="0" fontId="4" fillId="0" borderId="20" xfId="0" applyFont="1" applyBorder="1"/>
    <xf numFmtId="43" fontId="4" fillId="0" borderId="21" xfId="1" applyFont="1" applyBorder="1"/>
    <xf numFmtId="0" fontId="4" fillId="0" borderId="14" xfId="0" applyFont="1" applyBorder="1"/>
    <xf numFmtId="43" fontId="4" fillId="0" borderId="6" xfId="1" applyFont="1" applyBorder="1"/>
    <xf numFmtId="0" fontId="4" fillId="0" borderId="18" xfId="0" applyFont="1" applyBorder="1"/>
    <xf numFmtId="43" fontId="4" fillId="0" borderId="4" xfId="1" applyFont="1" applyBorder="1"/>
    <xf numFmtId="0" fontId="4" fillId="0" borderId="22" xfId="0" applyFont="1" applyBorder="1"/>
    <xf numFmtId="0" fontId="4" fillId="0" borderId="23" xfId="0" applyFont="1" applyBorder="1"/>
    <xf numFmtId="0" fontId="4" fillId="0" borderId="24" xfId="0" applyFont="1" applyBorder="1"/>
    <xf numFmtId="0" fontId="4" fillId="0" borderId="25" xfId="0" applyFont="1" applyBorder="1"/>
    <xf numFmtId="43" fontId="4" fillId="0" borderId="8" xfId="1" applyFont="1" applyBorder="1"/>
    <xf numFmtId="0" fontId="4" fillId="0" borderId="26" xfId="0" applyFont="1" applyBorder="1"/>
    <xf numFmtId="43" fontId="4" fillId="0" borderId="27" xfId="1" applyFont="1" applyBorder="1"/>
    <xf numFmtId="0" fontId="4" fillId="0" borderId="28" xfId="0" applyFont="1" applyBorder="1"/>
    <xf numFmtId="43" fontId="4" fillId="0" borderId="29" xfId="1" applyFont="1" applyBorder="1"/>
    <xf numFmtId="0" fontId="4" fillId="0" borderId="1" xfId="0" applyFont="1" applyBorder="1"/>
    <xf numFmtId="0" fontId="4" fillId="0" borderId="2" xfId="0" applyFont="1" applyBorder="1"/>
    <xf numFmtId="0" fontId="3" fillId="0" borderId="28" xfId="0" applyFont="1" applyBorder="1"/>
    <xf numFmtId="0" fontId="3" fillId="0" borderId="30" xfId="0" applyFont="1" applyBorder="1"/>
  </cellXfs>
  <cellStyles count="3">
    <cellStyle name="Comma" xfId="1" builtinId="3"/>
    <cellStyle name="Hyperlink" xfId="2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19052</xdr:colOff>
      <xdr:row>8</xdr:row>
      <xdr:rowOff>19043</xdr:rowOff>
    </xdr:from>
    <xdr:to>
      <xdr:col>2</xdr:col>
      <xdr:colOff>609601</xdr:colOff>
      <xdr:row>11</xdr:row>
      <xdr:rowOff>638175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C59C36E6-7CBE-43FB-88A2-6139C7A558B0}"/>
            </a:ext>
          </a:extLst>
        </xdr:cNvPr>
        <xdr:cNvSpPr txBox="1"/>
      </xdr:nvSpPr>
      <xdr:spPr>
        <a:xfrm rot="16200000">
          <a:off x="2043111" y="2424109"/>
          <a:ext cx="1190632" cy="590549"/>
        </a:xfrm>
        <a:prstGeom prst="rect">
          <a:avLst/>
        </a:prstGeom>
        <a:solidFill>
          <a:schemeClr val="bg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VEKNESWARAN</a:t>
          </a:r>
          <a:r>
            <a:rPr lang="en-US" sz="1100" b="0" i="0" u="none" strike="noStrik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PRATHIESHNA</a:t>
          </a:r>
          <a:endParaRPr lang="en-US" sz="1100"/>
        </a:p>
      </xdr:txBody>
    </xdr:sp>
    <xdr:clientData/>
  </xdr:twoCellAnchor>
  <xdr:oneCellAnchor>
    <xdr:from>
      <xdr:col>1</xdr:col>
      <xdr:colOff>0</xdr:colOff>
      <xdr:row>4</xdr:row>
      <xdr:rowOff>0</xdr:rowOff>
    </xdr:from>
    <xdr:ext cx="304800" cy="314325"/>
    <xdr:sp macro="" textlink="">
      <xdr:nvSpPr>
        <xdr:cNvPr id="3" name="AutoShape 1">
          <a:extLst>
            <a:ext uri="{FF2B5EF4-FFF2-40B4-BE49-F238E27FC236}">
              <a16:creationId xmlns:a16="http://schemas.microsoft.com/office/drawing/2014/main" id="{5AC81282-B948-4AE8-AFCC-307E71DD4AA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34302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2</xdr:col>
      <xdr:colOff>0</xdr:colOff>
      <xdr:row>35</xdr:row>
      <xdr:rowOff>38100</xdr:rowOff>
    </xdr:from>
    <xdr:to>
      <xdr:col>2</xdr:col>
      <xdr:colOff>1476376</xdr:colOff>
      <xdr:row>39</xdr:row>
      <xdr:rowOff>85725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9AB6DED5-BE4C-438E-81AB-BDDEC12CFC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24100" y="8077200"/>
          <a:ext cx="1476376" cy="809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mailto:.@44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FCD780-6AF7-46AB-A293-157D55BF54E7}">
  <dimension ref="B3:C43"/>
  <sheetViews>
    <sheetView tabSelected="1" topLeftCell="A19" workbookViewId="0">
      <selection activeCell="F25" sqref="F25"/>
    </sheetView>
  </sheetViews>
  <sheetFormatPr defaultRowHeight="15" x14ac:dyDescent="0.25"/>
  <cols>
    <col min="2" max="2" width="17.85546875" customWidth="1"/>
    <col min="3" max="3" width="23.7109375" customWidth="1"/>
  </cols>
  <sheetData>
    <row r="3" spans="2:3" x14ac:dyDescent="0.25">
      <c r="B3" s="1"/>
      <c r="C3" s="1"/>
    </row>
    <row r="4" spans="2:3" ht="15.75" thickBot="1" x14ac:dyDescent="0.3">
      <c r="B4" s="2"/>
      <c r="C4" s="2"/>
    </row>
    <row r="5" spans="2:3" x14ac:dyDescent="0.25">
      <c r="B5" s="3" t="s">
        <v>0</v>
      </c>
      <c r="C5" s="4"/>
    </row>
    <row r="6" spans="2:3" x14ac:dyDescent="0.25">
      <c r="B6" s="5" t="s">
        <v>1</v>
      </c>
      <c r="C6" s="6"/>
    </row>
    <row r="7" spans="2:3" x14ac:dyDescent="0.25">
      <c r="B7" s="7" t="s">
        <v>2</v>
      </c>
      <c r="C7" s="8"/>
    </row>
    <row r="8" spans="2:3" x14ac:dyDescent="0.25">
      <c r="B8" s="9" t="s">
        <v>3</v>
      </c>
      <c r="C8" s="10">
        <v>46235</v>
      </c>
    </row>
    <row r="9" spans="2:3" x14ac:dyDescent="0.25">
      <c r="B9" s="11"/>
      <c r="C9" s="12"/>
    </row>
    <row r="10" spans="2:3" x14ac:dyDescent="0.25">
      <c r="B10" s="5" t="s">
        <v>4</v>
      </c>
      <c r="C10" s="13"/>
    </row>
    <row r="11" spans="2:3" x14ac:dyDescent="0.25">
      <c r="B11" s="5"/>
      <c r="C11" s="13"/>
    </row>
    <row r="12" spans="2:3" ht="67.5" customHeight="1" x14ac:dyDescent="0.25">
      <c r="B12" s="14"/>
      <c r="C12" s="15"/>
    </row>
    <row r="13" spans="2:3" x14ac:dyDescent="0.25">
      <c r="B13" s="7"/>
      <c r="C13" s="16" t="s">
        <v>5</v>
      </c>
    </row>
    <row r="14" spans="2:3" x14ac:dyDescent="0.25">
      <c r="B14" s="17" t="s">
        <v>6</v>
      </c>
      <c r="C14" s="18">
        <v>633534</v>
      </c>
    </row>
    <row r="15" spans="2:3" x14ac:dyDescent="0.25">
      <c r="B15" s="19" t="s">
        <v>7</v>
      </c>
      <c r="C15" s="20">
        <v>0</v>
      </c>
    </row>
    <row r="16" spans="2:3" x14ac:dyDescent="0.25">
      <c r="B16" s="21" t="s">
        <v>8</v>
      </c>
      <c r="C16" s="22"/>
    </row>
    <row r="17" spans="2:3" x14ac:dyDescent="0.25">
      <c r="B17" s="23"/>
      <c r="C17" s="22"/>
    </row>
    <row r="18" spans="2:3" x14ac:dyDescent="0.25">
      <c r="B18" s="24"/>
      <c r="C18" s="22"/>
    </row>
    <row r="19" spans="2:3" ht="15.75" thickBot="1" x14ac:dyDescent="0.3">
      <c r="B19" s="25" t="s">
        <v>9</v>
      </c>
      <c r="C19" s="26">
        <f>+C15+C14</f>
        <v>633534</v>
      </c>
    </row>
    <row r="20" spans="2:3" ht="15.75" thickTop="1" x14ac:dyDescent="0.25">
      <c r="B20" s="27"/>
      <c r="C20" s="28"/>
    </row>
    <row r="21" spans="2:3" x14ac:dyDescent="0.25">
      <c r="B21" s="29" t="s">
        <v>10</v>
      </c>
      <c r="C21" s="20"/>
    </row>
    <row r="22" spans="2:3" x14ac:dyDescent="0.25">
      <c r="B22" s="24"/>
      <c r="C22" s="22"/>
    </row>
    <row r="23" spans="2:3" x14ac:dyDescent="0.25">
      <c r="B23" s="9" t="s">
        <v>11</v>
      </c>
      <c r="C23" s="30">
        <f>+C15+C14</f>
        <v>633534</v>
      </c>
    </row>
    <row r="24" spans="2:3" ht="15.75" thickBot="1" x14ac:dyDescent="0.3">
      <c r="B24" s="31" t="s">
        <v>12</v>
      </c>
      <c r="C24" s="26">
        <f>+C23</f>
        <v>633534</v>
      </c>
    </row>
    <row r="25" spans="2:3" ht="15.75" thickTop="1" x14ac:dyDescent="0.25">
      <c r="B25" s="7"/>
      <c r="C25" s="32"/>
    </row>
    <row r="26" spans="2:3" x14ac:dyDescent="0.25">
      <c r="B26" s="33" t="s">
        <v>13</v>
      </c>
      <c r="C26" s="18">
        <v>50682</v>
      </c>
    </row>
    <row r="27" spans="2:3" x14ac:dyDescent="0.25">
      <c r="B27" s="34" t="s">
        <v>14</v>
      </c>
      <c r="C27" s="20">
        <v>0</v>
      </c>
    </row>
    <row r="28" spans="2:3" x14ac:dyDescent="0.25">
      <c r="B28" s="34" t="s">
        <v>15</v>
      </c>
      <c r="C28" s="20">
        <v>0</v>
      </c>
    </row>
    <row r="29" spans="2:3" x14ac:dyDescent="0.25">
      <c r="B29" s="27" t="s">
        <v>16</v>
      </c>
      <c r="C29" s="28">
        <v>134072.24</v>
      </c>
    </row>
    <row r="30" spans="2:3" x14ac:dyDescent="0.25">
      <c r="B30" s="35"/>
      <c r="C30" s="22"/>
    </row>
    <row r="31" spans="2:3" ht="15.75" thickBot="1" x14ac:dyDescent="0.3">
      <c r="B31" s="36" t="s">
        <v>17</v>
      </c>
      <c r="C31" s="26">
        <f>+C29+C26</f>
        <v>184754.24</v>
      </c>
    </row>
    <row r="32" spans="2:3" ht="15.75" thickTop="1" x14ac:dyDescent="0.25">
      <c r="B32" s="7"/>
      <c r="C32" s="32"/>
    </row>
    <row r="33" spans="2:3" ht="15.75" thickBot="1" x14ac:dyDescent="0.3">
      <c r="B33" s="11" t="s">
        <v>18</v>
      </c>
      <c r="C33" s="37">
        <f>+C19-C31</f>
        <v>448779.76</v>
      </c>
    </row>
    <row r="34" spans="2:3" x14ac:dyDescent="0.25">
      <c r="B34" s="38" t="s">
        <v>19</v>
      </c>
      <c r="C34" s="39">
        <v>76024</v>
      </c>
    </row>
    <row r="35" spans="2:3" ht="15.75" thickBot="1" x14ac:dyDescent="0.3">
      <c r="B35" s="40" t="s">
        <v>20</v>
      </c>
      <c r="C35" s="41">
        <v>19006</v>
      </c>
    </row>
    <row r="36" spans="2:3" x14ac:dyDescent="0.25">
      <c r="B36" s="42"/>
      <c r="C36" s="43"/>
    </row>
    <row r="37" spans="2:3" x14ac:dyDescent="0.25">
      <c r="B37" s="7"/>
      <c r="C37" s="8"/>
    </row>
    <row r="38" spans="2:3" x14ac:dyDescent="0.25">
      <c r="B38" s="7" t="s">
        <v>21</v>
      </c>
      <c r="C38" s="8"/>
    </row>
    <row r="39" spans="2:3" x14ac:dyDescent="0.25">
      <c r="B39" s="7" t="s">
        <v>22</v>
      </c>
      <c r="C39" s="8"/>
    </row>
    <row r="40" spans="2:3" x14ac:dyDescent="0.25">
      <c r="B40" s="7" t="s">
        <v>23</v>
      </c>
      <c r="C40" s="8"/>
    </row>
    <row r="41" spans="2:3" x14ac:dyDescent="0.25">
      <c r="B41" s="5" t="s">
        <v>24</v>
      </c>
      <c r="C41" s="6"/>
    </row>
    <row r="42" spans="2:3" ht="15.75" thickBot="1" x14ac:dyDescent="0.3">
      <c r="B42" s="44" t="s">
        <v>25</v>
      </c>
      <c r="C42" s="45"/>
    </row>
    <row r="43" spans="2:3" x14ac:dyDescent="0.25">
      <c r="B43" s="2"/>
      <c r="C43" s="2"/>
    </row>
  </sheetData>
  <hyperlinks>
    <hyperlink ref="B16" r:id="rId1" xr:uid="{1623657F-F4BF-4F5A-A051-5653987688B9}"/>
  </hyperlinks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2026-09-02T05:31:34Z</dcterms:created>
  <dcterms:modified xsi:type="dcterms:W3CDTF">2026-09-02T05:32:38Z</dcterms:modified>
</cp:coreProperties>
</file>