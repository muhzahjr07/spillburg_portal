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MALINDU SALARY\"/>
    </mc:Choice>
  </mc:AlternateContent>
  <xr:revisionPtr revIDLastSave="0" documentId="13_ncr:1_{AA44919E-4072-49C6-9B87-D2F1552BE4F0}" xr6:coauthVersionLast="47" xr6:coauthVersionMax="47" xr10:uidLastSave="{00000000-0000-0000-0000-000000000000}"/>
  <bookViews>
    <workbookView xWindow="-120" yWindow="-120" windowWidth="20640" windowHeight="11040" tabRatio="601" activeTab="3" xr2:uid="{00000000-000D-0000-FFFF-FFFF00000000}"/>
  </bookViews>
  <sheets>
    <sheet name="APRIL 2026" sheetId="1" r:id="rId1"/>
    <sheet name="May2026" sheetId="2" r:id="rId2"/>
    <sheet name="JUNE 2026" sheetId="3" r:id="rId3"/>
    <sheet name="JULY 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4" l="1"/>
  <c r="C24" i="4"/>
  <c r="C25" i="4" s="1"/>
  <c r="C20" i="4"/>
  <c r="C36" i="3"/>
  <c r="C35" i="3"/>
  <c r="C27" i="3"/>
  <c r="C32" i="3" s="1"/>
  <c r="C15" i="3"/>
  <c r="C20" i="3" s="1"/>
  <c r="C24" i="3"/>
  <c r="C25" i="3" s="1"/>
  <c r="C26" i="2"/>
  <c r="C34" i="4" l="1"/>
  <c r="C34" i="3"/>
  <c r="C31" i="2"/>
  <c r="C23" i="2"/>
  <c r="C19" i="2"/>
  <c r="C33" i="2" l="1"/>
  <c r="C24" i="2"/>
  <c r="C35" i="2"/>
  <c r="C34" i="2"/>
</calcChain>
</file>

<file path=xl/sharedStrings.xml><?xml version="1.0" encoding="utf-8"?>
<sst xmlns="http://schemas.openxmlformats.org/spreadsheetml/2006/main" count="75" uniqueCount="26">
  <si>
    <t>Name</t>
  </si>
  <si>
    <t>Month</t>
  </si>
  <si>
    <t>Special  Allowance</t>
  </si>
  <si>
    <t>Net total</t>
  </si>
  <si>
    <t>Gross Pay</t>
  </si>
  <si>
    <t>(-)Advance</t>
  </si>
  <si>
    <t>(-) Loan</t>
  </si>
  <si>
    <t>Total Deduction</t>
  </si>
  <si>
    <t>Balance Pay</t>
  </si>
  <si>
    <t>EPF  12%</t>
  </si>
  <si>
    <t>ETF  3%</t>
  </si>
  <si>
    <t>Signature</t>
  </si>
  <si>
    <t>…..........................................</t>
  </si>
  <si>
    <t>(-) No Pay/Late</t>
  </si>
  <si>
    <t>APADMI SL (PRIVATE)LIMITED</t>
  </si>
  <si>
    <t>Monthly Payroll 2026-2027</t>
  </si>
  <si>
    <t>LKR</t>
  </si>
  <si>
    <t>Total (Gross)</t>
  </si>
  <si>
    <t>(-) APIT</t>
  </si>
  <si>
    <t>(-)EPF 8%</t>
  </si>
  <si>
    <t>Spillburg Holdings (Pvt)ltd</t>
  </si>
  <si>
    <t xml:space="preserve">Office 14, Basement Level </t>
  </si>
  <si>
    <t>Cinnamon Lake side  Hotel  -Colombo 02</t>
  </si>
  <si>
    <t>EPF NO :02</t>
  </si>
  <si>
    <t>Basic Pay (GBP 1137)27 DAYS</t>
  </si>
  <si>
    <t>Basic Pay (GBP 1305)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</si>
</sst>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12" xfId="0" applyFont="1" applyBorder="1"/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10" xfId="0" applyFont="1" applyBorder="1"/>
    <xf numFmtId="43" fontId="3" fillId="0" borderId="11" xfId="1" applyFont="1" applyBorder="1"/>
    <xf numFmtId="0" fontId="2" fillId="0" borderId="26" xfId="0" applyFont="1" applyBorder="1"/>
    <xf numFmtId="0" fontId="2" fillId="0" borderId="27" xfId="0" applyFont="1" applyBorder="1"/>
    <xf numFmtId="17" fontId="2" fillId="0" borderId="6" xfId="0" applyNumberFormat="1" applyFont="1" applyBorder="1"/>
    <xf numFmtId="0" fontId="3" fillId="0" borderId="4" xfId="0" applyFont="1" applyBorder="1" applyAlignment="1">
      <alignment horizontal="center"/>
    </xf>
    <xf numFmtId="17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43" fontId="3" fillId="0" borderId="9" xfId="1" applyFont="1" applyBorder="1"/>
    <xf numFmtId="0" fontId="3" fillId="0" borderId="1" xfId="0" applyFont="1" applyBorder="1"/>
    <xf numFmtId="0" fontId="3" fillId="0" borderId="2" xfId="0" applyFont="1" applyBorder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0551344-E783-5886-7229-CA438876F552}"/>
            </a:ext>
          </a:extLst>
        </xdr:cNvPr>
        <xdr:cNvSpPr>
          <a:spLocks noChangeAspect="1" noChangeArrowheads="1"/>
        </xdr:cNvSpPr>
      </xdr:nvSpPr>
      <xdr:spPr bwMode="auto">
        <a:xfrm>
          <a:off x="381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C95030BB-BF5C-8B77-447F-F40923738F1F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40D9B8D2-63F5-43EF-92C5-D798608391BC}"/>
            </a:ext>
          </a:extLst>
        </xdr:cNvPr>
        <xdr:cNvSpPr>
          <a:spLocks noChangeAspect="1" noChangeArrowheads="1"/>
        </xdr:cNvSpPr>
      </xdr:nvSpPr>
      <xdr:spPr bwMode="auto">
        <a:xfrm>
          <a:off x="990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19053</xdr:colOff>
      <xdr:row>8</xdr:row>
      <xdr:rowOff>19042</xdr:rowOff>
    </xdr:from>
    <xdr:to>
      <xdr:col>2</xdr:col>
      <xdr:colOff>609602</xdr:colOff>
      <xdr:row>11</xdr:row>
      <xdr:rowOff>962025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09A31B-D2E8-4FED-A50B-5F7655AE6CDE}"/>
            </a:ext>
          </a:extLst>
        </xdr:cNvPr>
        <xdr:cNvSpPr txBox="1"/>
      </xdr:nvSpPr>
      <xdr:spPr>
        <a:xfrm rot="16200000">
          <a:off x="1757361" y="10739434"/>
          <a:ext cx="1514483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4</xdr:row>
      <xdr:rowOff>0</xdr:rowOff>
    </xdr:from>
    <xdr:ext cx="304800" cy="314325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28F80B51-281B-4A87-B6DA-E889A3C1E750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304800" cy="314325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5377DDA-EBD4-4EB0-AEE9-486BEF531E26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5A8D507-76A6-448C-8433-D600412E5B7C}"/>
            </a:ext>
          </a:extLst>
        </xdr:cNvPr>
        <xdr:cNvSpPr>
          <a:spLocks noChangeAspect="1" noChangeArrowheads="1"/>
        </xdr:cNvSpPr>
      </xdr:nvSpPr>
      <xdr:spPr bwMode="auto">
        <a:xfrm>
          <a:off x="409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19054</xdr:colOff>
      <xdr:row>9</xdr:row>
      <xdr:rowOff>19040</xdr:rowOff>
    </xdr:from>
    <xdr:to>
      <xdr:col>2</xdr:col>
      <xdr:colOff>609603</xdr:colOff>
      <xdr:row>12</xdr:row>
      <xdr:rowOff>857249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2B9B5B7-20FF-4DAD-9D85-28B4130B4B17}"/>
            </a:ext>
          </a:extLst>
        </xdr:cNvPr>
        <xdr:cNvSpPr txBox="1"/>
      </xdr:nvSpPr>
      <xdr:spPr>
        <a:xfrm rot="16200000">
          <a:off x="1752599" y="10667995"/>
          <a:ext cx="1409709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5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F428E97-9684-494A-9179-C01B1E6CF40F}"/>
            </a:ext>
          </a:extLst>
        </xdr:cNvPr>
        <xdr:cNvSpPr>
          <a:spLocks noChangeAspect="1" noChangeArrowheads="1"/>
        </xdr:cNvSpPr>
      </xdr:nvSpPr>
      <xdr:spPr bwMode="auto">
        <a:xfrm>
          <a:off x="409575" y="9496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14325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1F953773-69D6-495A-9071-0EB8B3BE77C4}"/>
            </a:ext>
          </a:extLst>
        </xdr:cNvPr>
        <xdr:cNvSpPr>
          <a:spLocks noChangeAspect="1" noChangeArrowheads="1"/>
        </xdr:cNvSpPr>
      </xdr:nvSpPr>
      <xdr:spPr bwMode="auto">
        <a:xfrm>
          <a:off x="409575" y="19545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359BF8F-0D25-4416-A74A-DA6C50E0F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19054</xdr:colOff>
      <xdr:row>9</xdr:row>
      <xdr:rowOff>19040</xdr:rowOff>
    </xdr:from>
    <xdr:to>
      <xdr:col>2</xdr:col>
      <xdr:colOff>609603</xdr:colOff>
      <xdr:row>12</xdr:row>
      <xdr:rowOff>857249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6589CFF-C89F-4916-8D13-FBF2094E56F3}"/>
            </a:ext>
          </a:extLst>
        </xdr:cNvPr>
        <xdr:cNvSpPr txBox="1"/>
      </xdr:nvSpPr>
      <xdr:spPr>
        <a:xfrm rot="16200000">
          <a:off x="1752599" y="2152645"/>
          <a:ext cx="1409709" cy="5905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MALINDU KIRINDEGAMAARACHCHI</a:t>
          </a:r>
          <a:r>
            <a:rPr lang="en-US" sz="1000"/>
            <a:t> </a:t>
          </a:r>
        </a:p>
      </xdr:txBody>
    </xdr:sp>
    <xdr:clientData/>
  </xdr:twoCellAnchor>
  <xdr:oneCellAnchor>
    <xdr:from>
      <xdr:col>1</xdr:col>
      <xdr:colOff>0</xdr:colOff>
      <xdr:row>5</xdr:row>
      <xdr:rowOff>0</xdr:rowOff>
    </xdr:from>
    <xdr:ext cx="304800" cy="314325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CC9947C-AA31-4C09-AC22-1A3804ACE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2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304800" cy="31432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1BB4EE8-3FE4-40FB-96CD-D57F07B80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1457325</xdr:colOff>
      <xdr:row>36</xdr:row>
      <xdr:rowOff>85725</xdr:rowOff>
    </xdr:from>
    <xdr:to>
      <xdr:col>2</xdr:col>
      <xdr:colOff>1352551</xdr:colOff>
      <xdr:row>41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8ECB2AA-E9AA-AE5F-204F-18AC8ABEF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7800975"/>
          <a:ext cx="1438276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E86"/>
  <sheetViews>
    <sheetView workbookViewId="0">
      <selection activeCell="C14" sqref="C14"/>
    </sheetView>
  </sheetViews>
  <sheetFormatPr defaultRowHeight="15" x14ac:dyDescent="0.25"/>
  <cols>
    <col min="2" max="2" width="5.7109375" customWidth="1"/>
    <col min="3" max="3" width="26.85546875" style="2" customWidth="1"/>
    <col min="4" max="4" width="19.7109375" style="2" customWidth="1"/>
    <col min="5" max="5" width="5.7109375" style="2" customWidth="1"/>
  </cols>
  <sheetData>
    <row r="5" spans="3:5" x14ac:dyDescent="0.25">
      <c r="C5" s="1"/>
      <c r="D5" s="1"/>
      <c r="E5" s="1"/>
    </row>
    <row r="6" spans="3:5" x14ac:dyDescent="0.25">
      <c r="C6" s="1"/>
      <c r="D6" s="1"/>
      <c r="E6" s="1"/>
    </row>
    <row r="8" spans="3:5" x14ac:dyDescent="0.25">
      <c r="C8" s="1"/>
      <c r="D8" s="41"/>
      <c r="E8" s="1"/>
    </row>
    <row r="10" spans="3:5" x14ac:dyDescent="0.25">
      <c r="C10" s="1"/>
      <c r="D10" s="1"/>
      <c r="E10" s="1"/>
    </row>
    <row r="11" spans="3:5" x14ac:dyDescent="0.25">
      <c r="C11" s="1"/>
      <c r="D11" s="1"/>
      <c r="E11" s="1"/>
    </row>
    <row r="12" spans="3:5" ht="56.25" customHeight="1" x14ac:dyDescent="0.25">
      <c r="C12" s="1"/>
      <c r="D12" s="1"/>
      <c r="E12" s="1"/>
    </row>
    <row r="13" spans="3:5" ht="13.5" customHeight="1" x14ac:dyDescent="0.25">
      <c r="D13" s="42"/>
    </row>
    <row r="14" spans="3:5" x14ac:dyDescent="0.25">
      <c r="D14" s="3"/>
      <c r="E14" s="3"/>
    </row>
    <row r="15" spans="3:5" x14ac:dyDescent="0.25">
      <c r="C15" s="43"/>
      <c r="D15" s="3"/>
      <c r="E15" s="3"/>
    </row>
    <row r="16" spans="3:5" x14ac:dyDescent="0.25">
      <c r="C16" s="43"/>
      <c r="D16" s="3"/>
      <c r="E16" s="3"/>
    </row>
    <row r="17" spans="3:5" x14ac:dyDescent="0.25">
      <c r="C17" s="43"/>
      <c r="D17" s="3"/>
      <c r="E17" s="3"/>
    </row>
    <row r="18" spans="3:5" x14ac:dyDescent="0.25">
      <c r="D18" s="3"/>
      <c r="E18" s="3"/>
    </row>
    <row r="19" spans="3:5" x14ac:dyDescent="0.25">
      <c r="C19" s="1"/>
      <c r="D19" s="3"/>
      <c r="E19" s="3"/>
    </row>
    <row r="20" spans="3:5" x14ac:dyDescent="0.25">
      <c r="D20" s="3"/>
      <c r="E20" s="3"/>
    </row>
    <row r="21" spans="3:5" x14ac:dyDescent="0.25">
      <c r="D21" s="3"/>
      <c r="E21" s="3"/>
    </row>
    <row r="22" spans="3:5" x14ac:dyDescent="0.25">
      <c r="D22" s="3"/>
      <c r="E22" s="3"/>
    </row>
    <row r="23" spans="3:5" x14ac:dyDescent="0.25">
      <c r="C23" s="1"/>
      <c r="D23" s="3"/>
      <c r="E23" s="3"/>
    </row>
    <row r="24" spans="3:5" x14ac:dyDescent="0.25">
      <c r="D24" s="3"/>
      <c r="E24" s="3"/>
    </row>
    <row r="25" spans="3:5" x14ac:dyDescent="0.25">
      <c r="D25" s="3"/>
      <c r="E25" s="3"/>
    </row>
    <row r="26" spans="3:5" x14ac:dyDescent="0.25">
      <c r="D26" s="3"/>
      <c r="E26" s="3"/>
    </row>
    <row r="27" spans="3:5" x14ac:dyDescent="0.25">
      <c r="D27" s="3"/>
      <c r="E27" s="3"/>
    </row>
    <row r="28" spans="3:5" x14ac:dyDescent="0.25">
      <c r="D28" s="3"/>
      <c r="E28" s="3"/>
    </row>
    <row r="29" spans="3:5" x14ac:dyDescent="0.25">
      <c r="D29" s="3"/>
      <c r="E29" s="3"/>
    </row>
    <row r="30" spans="3:5" x14ac:dyDescent="0.25">
      <c r="D30" s="3"/>
      <c r="E30" s="3"/>
    </row>
    <row r="31" spans="3:5" x14ac:dyDescent="0.25">
      <c r="D31" s="3"/>
      <c r="E31" s="3"/>
    </row>
    <row r="32" spans="3:5" x14ac:dyDescent="0.25">
      <c r="D32" s="3"/>
      <c r="E32" s="3"/>
    </row>
    <row r="33" spans="3:5" x14ac:dyDescent="0.25">
      <c r="D33" s="3"/>
      <c r="E33" s="3"/>
    </row>
    <row r="34" spans="3:5" x14ac:dyDescent="0.25">
      <c r="D34" s="3"/>
      <c r="E34" s="3"/>
    </row>
    <row r="35" spans="3:5" x14ac:dyDescent="0.25">
      <c r="D35" s="3"/>
      <c r="E35" s="3"/>
    </row>
    <row r="41" spans="3:5" x14ac:dyDescent="0.25">
      <c r="C41" s="1"/>
      <c r="D41" s="1"/>
      <c r="E41" s="1"/>
    </row>
    <row r="42" spans="3:5" x14ac:dyDescent="0.25">
      <c r="C42" s="1"/>
      <c r="D42" s="1"/>
      <c r="E42" s="1"/>
    </row>
    <row r="44" spans="3:5" x14ac:dyDescent="0.25">
      <c r="C44" s="1"/>
      <c r="D44" s="1"/>
      <c r="E44" s="1"/>
    </row>
    <row r="46" spans="3:5" x14ac:dyDescent="0.25">
      <c r="C46" s="1"/>
      <c r="D46" s="1"/>
      <c r="E46" s="1"/>
    </row>
    <row r="47" spans="3:5" x14ac:dyDescent="0.25">
      <c r="C47" s="1"/>
      <c r="D47" s="1"/>
      <c r="E47" s="1"/>
    </row>
    <row r="48" spans="3:5" ht="48" customHeight="1" x14ac:dyDescent="0.25">
      <c r="C48" s="1"/>
      <c r="D48" s="1"/>
    </row>
    <row r="49" spans="3:4" x14ac:dyDescent="0.25">
      <c r="C49" s="1"/>
      <c r="D49" s="1"/>
    </row>
    <row r="51" spans="3:4" x14ac:dyDescent="0.25">
      <c r="C51" s="1"/>
      <c r="D51" s="1"/>
    </row>
    <row r="53" spans="3:4" x14ac:dyDescent="0.25">
      <c r="C53" s="1"/>
      <c r="D53" s="1"/>
    </row>
    <row r="54" spans="3:4" x14ac:dyDescent="0.25">
      <c r="C54" s="1"/>
      <c r="D54" s="1"/>
    </row>
    <row r="55" spans="3:4" x14ac:dyDescent="0.25">
      <c r="C55" s="1"/>
      <c r="D55" s="1"/>
    </row>
    <row r="57" spans="3:4" x14ac:dyDescent="0.25">
      <c r="D57" s="3"/>
    </row>
    <row r="58" spans="3:4" x14ac:dyDescent="0.25">
      <c r="D58" s="3"/>
    </row>
    <row r="59" spans="3:4" x14ac:dyDescent="0.25">
      <c r="D59" s="3"/>
    </row>
    <row r="60" spans="3:4" x14ac:dyDescent="0.25">
      <c r="D60" s="3"/>
    </row>
    <row r="61" spans="3:4" x14ac:dyDescent="0.25">
      <c r="D61" s="3"/>
    </row>
    <row r="62" spans="3:4" x14ac:dyDescent="0.25">
      <c r="C62" s="1"/>
      <c r="D62" s="3"/>
    </row>
    <row r="63" spans="3:4" x14ac:dyDescent="0.25">
      <c r="D63" s="3"/>
    </row>
    <row r="64" spans="3:4" x14ac:dyDescent="0.25">
      <c r="D64" s="3"/>
    </row>
    <row r="65" spans="3:4" x14ac:dyDescent="0.25">
      <c r="D65" s="3"/>
    </row>
    <row r="66" spans="3:4" x14ac:dyDescent="0.25">
      <c r="C66" s="1"/>
      <c r="D66" s="3"/>
    </row>
    <row r="67" spans="3:4" x14ac:dyDescent="0.25">
      <c r="D67" s="3"/>
    </row>
    <row r="68" spans="3:4" x14ac:dyDescent="0.25">
      <c r="D68" s="3"/>
    </row>
    <row r="69" spans="3:4" x14ac:dyDescent="0.25">
      <c r="D69" s="3"/>
    </row>
    <row r="70" spans="3:4" x14ac:dyDescent="0.25">
      <c r="D70" s="3"/>
    </row>
    <row r="71" spans="3:4" x14ac:dyDescent="0.25">
      <c r="D71" s="3"/>
    </row>
    <row r="72" spans="3:4" x14ac:dyDescent="0.25">
      <c r="D72" s="3"/>
    </row>
    <row r="73" spans="3:4" x14ac:dyDescent="0.25">
      <c r="D73" s="3"/>
    </row>
    <row r="74" spans="3:4" x14ac:dyDescent="0.25">
      <c r="D74" s="3"/>
    </row>
    <row r="75" spans="3:4" x14ac:dyDescent="0.25">
      <c r="D75" s="3"/>
    </row>
    <row r="76" spans="3:4" x14ac:dyDescent="0.25">
      <c r="D76" s="3"/>
    </row>
    <row r="77" spans="3:4" x14ac:dyDescent="0.25">
      <c r="D77" s="3"/>
    </row>
    <row r="78" spans="3:4" x14ac:dyDescent="0.25">
      <c r="D78" s="3"/>
    </row>
    <row r="84" spans="3:5" x14ac:dyDescent="0.25">
      <c r="D84"/>
    </row>
    <row r="85" spans="3:5" x14ac:dyDescent="0.25">
      <c r="C85"/>
      <c r="E85"/>
    </row>
    <row r="86" spans="3:5" x14ac:dyDescent="0.25">
      <c r="C86"/>
      <c r="E86"/>
    </row>
  </sheetData>
  <pageMargins left="0.25" right="0.25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0141-2A00-4B95-ABFC-006D9DB5913D}">
  <dimension ref="B1:C90"/>
  <sheetViews>
    <sheetView workbookViewId="0">
      <selection activeCell="C114" sqref="C114"/>
    </sheetView>
  </sheetViews>
  <sheetFormatPr defaultRowHeight="15" x14ac:dyDescent="0.25"/>
  <cols>
    <col min="1" max="1" width="6.140625" customWidth="1"/>
    <col min="2" max="2" width="26.85546875" style="2" customWidth="1"/>
    <col min="3" max="3" width="19.7109375" style="2" customWidth="1"/>
  </cols>
  <sheetData>
    <row r="1" spans="2:3" x14ac:dyDescent="0.25">
      <c r="B1" s="1"/>
      <c r="C1" s="1"/>
    </row>
    <row r="2" spans="2:3" x14ac:dyDescent="0.25">
      <c r="B2" s="1"/>
      <c r="C2" s="1"/>
    </row>
    <row r="4" spans="2:3" ht="15.75" thickBot="1" x14ac:dyDescent="0.3">
      <c r="B4" s="1"/>
      <c r="C4" s="1"/>
    </row>
    <row r="5" spans="2:3" x14ac:dyDescent="0.25">
      <c r="B5" s="4" t="s">
        <v>14</v>
      </c>
      <c r="C5" s="5"/>
    </row>
    <row r="6" spans="2:3" x14ac:dyDescent="0.25">
      <c r="B6" s="6" t="s">
        <v>15</v>
      </c>
      <c r="C6" s="7"/>
    </row>
    <row r="7" spans="2:3" x14ac:dyDescent="0.25">
      <c r="B7" s="8" t="s">
        <v>23</v>
      </c>
      <c r="C7" s="9"/>
    </row>
    <row r="8" spans="2:3" x14ac:dyDescent="0.25">
      <c r="B8" s="10" t="s">
        <v>1</v>
      </c>
      <c r="C8" s="39">
        <v>46143</v>
      </c>
    </row>
    <row r="9" spans="2:3" x14ac:dyDescent="0.25">
      <c r="B9" s="11"/>
      <c r="C9" s="12"/>
    </row>
    <row r="10" spans="2:3" x14ac:dyDescent="0.25">
      <c r="B10" s="6" t="s">
        <v>0</v>
      </c>
      <c r="C10" s="13"/>
    </row>
    <row r="11" spans="2:3" x14ac:dyDescent="0.25">
      <c r="B11" s="6"/>
      <c r="C11" s="13"/>
    </row>
    <row r="12" spans="2:3" ht="78.75" customHeight="1" x14ac:dyDescent="0.25">
      <c r="B12" s="14"/>
      <c r="C12" s="15"/>
    </row>
    <row r="13" spans="2:3" x14ac:dyDescent="0.25">
      <c r="B13" s="8"/>
      <c r="C13" s="40" t="s">
        <v>16</v>
      </c>
    </row>
    <row r="14" spans="2:3" x14ac:dyDescent="0.25">
      <c r="B14" s="16" t="s">
        <v>24</v>
      </c>
      <c r="C14" s="17">
        <v>516198</v>
      </c>
    </row>
    <row r="15" spans="2:3" x14ac:dyDescent="0.25">
      <c r="B15" s="18" t="s">
        <v>2</v>
      </c>
      <c r="C15" s="19">
        <v>0</v>
      </c>
    </row>
    <row r="16" spans="2:3" x14ac:dyDescent="0.25">
      <c r="B16" s="20"/>
      <c r="C16" s="21"/>
    </row>
    <row r="17" spans="2:3" x14ac:dyDescent="0.25">
      <c r="B17" s="20"/>
      <c r="C17" s="21"/>
    </row>
    <row r="18" spans="2:3" x14ac:dyDescent="0.25">
      <c r="B18" s="22"/>
      <c r="C18" s="21"/>
    </row>
    <row r="19" spans="2:3" ht="15.75" thickBot="1" x14ac:dyDescent="0.3">
      <c r="B19" s="23" t="s">
        <v>17</v>
      </c>
      <c r="C19" s="24">
        <f>+C15+C14</f>
        <v>516198</v>
      </c>
    </row>
    <row r="20" spans="2:3" ht="15.75" thickTop="1" x14ac:dyDescent="0.25">
      <c r="B20" s="25"/>
      <c r="C20" s="26"/>
    </row>
    <row r="21" spans="2:3" x14ac:dyDescent="0.25">
      <c r="B21" s="27" t="s">
        <v>13</v>
      </c>
      <c r="C21" s="19"/>
    </row>
    <row r="22" spans="2:3" x14ac:dyDescent="0.25">
      <c r="B22" s="22"/>
      <c r="C22" s="21"/>
    </row>
    <row r="23" spans="2:3" x14ac:dyDescent="0.25">
      <c r="B23" s="10" t="s">
        <v>3</v>
      </c>
      <c r="C23" s="28">
        <f>+C15+C14</f>
        <v>516198</v>
      </c>
    </row>
    <row r="24" spans="2:3" ht="15.75" thickBot="1" x14ac:dyDescent="0.3">
      <c r="B24" s="29" t="s">
        <v>4</v>
      </c>
      <c r="C24" s="24">
        <f>+C23</f>
        <v>516198</v>
      </c>
    </row>
    <row r="25" spans="2:3" ht="15.75" thickTop="1" x14ac:dyDescent="0.25">
      <c r="B25" s="8"/>
      <c r="C25" s="30"/>
    </row>
    <row r="26" spans="2:3" x14ac:dyDescent="0.25">
      <c r="B26" s="31" t="s">
        <v>19</v>
      </c>
      <c r="C26" s="17">
        <f>516198*8%</f>
        <v>41295.840000000004</v>
      </c>
    </row>
    <row r="27" spans="2:3" x14ac:dyDescent="0.25">
      <c r="B27" s="32" t="s">
        <v>5</v>
      </c>
      <c r="C27" s="19">
        <v>0</v>
      </c>
    </row>
    <row r="28" spans="2:3" x14ac:dyDescent="0.25">
      <c r="B28" s="32" t="s">
        <v>6</v>
      </c>
      <c r="C28" s="19">
        <v>0</v>
      </c>
    </row>
    <row r="29" spans="2:3" x14ac:dyDescent="0.25">
      <c r="B29" s="25" t="s">
        <v>18</v>
      </c>
      <c r="C29" s="26">
        <v>91831</v>
      </c>
    </row>
    <row r="30" spans="2:3" x14ac:dyDescent="0.25">
      <c r="B30" s="33"/>
      <c r="C30" s="21"/>
    </row>
    <row r="31" spans="2:3" ht="15.75" thickBot="1" x14ac:dyDescent="0.3">
      <c r="B31" s="34" t="s">
        <v>7</v>
      </c>
      <c r="C31" s="24">
        <f>+C29+C26</f>
        <v>133126.84</v>
      </c>
    </row>
    <row r="32" spans="2:3" ht="15.75" thickTop="1" x14ac:dyDescent="0.25">
      <c r="B32" s="8"/>
      <c r="C32" s="30"/>
    </row>
    <row r="33" spans="2:3" ht="15.75" thickBot="1" x14ac:dyDescent="0.3">
      <c r="B33" s="29" t="s">
        <v>8</v>
      </c>
      <c r="C33" s="24">
        <f>+C19-C31</f>
        <v>383071.16000000003</v>
      </c>
    </row>
    <row r="34" spans="2:3" ht="15.75" thickTop="1" x14ac:dyDescent="0.25">
      <c r="B34" s="16" t="s">
        <v>9</v>
      </c>
      <c r="C34" s="17">
        <f>+C23*12%</f>
        <v>61943.759999999995</v>
      </c>
    </row>
    <row r="35" spans="2:3" x14ac:dyDescent="0.25">
      <c r="B35" s="35" t="s">
        <v>10</v>
      </c>
      <c r="C35" s="36">
        <f>+C23*3%</f>
        <v>15485.939999999999</v>
      </c>
    </row>
    <row r="36" spans="2:3" x14ac:dyDescent="0.25">
      <c r="B36" s="8"/>
      <c r="C36" s="9"/>
    </row>
    <row r="37" spans="2:3" x14ac:dyDescent="0.25">
      <c r="B37" s="8"/>
      <c r="C37" s="9"/>
    </row>
    <row r="38" spans="2:3" x14ac:dyDescent="0.25">
      <c r="B38" s="8" t="s">
        <v>12</v>
      </c>
      <c r="C38" s="9"/>
    </row>
    <row r="39" spans="2:3" x14ac:dyDescent="0.25">
      <c r="B39" s="8" t="s">
        <v>11</v>
      </c>
      <c r="C39" s="9"/>
    </row>
    <row r="40" spans="2:3" x14ac:dyDescent="0.25">
      <c r="B40" s="8" t="s">
        <v>20</v>
      </c>
      <c r="C40" s="9"/>
    </row>
    <row r="41" spans="2:3" x14ac:dyDescent="0.25">
      <c r="B41" s="6" t="s">
        <v>21</v>
      </c>
      <c r="C41" s="7"/>
    </row>
    <row r="42" spans="2:3" ht="15.75" thickBot="1" x14ac:dyDescent="0.3">
      <c r="B42" s="37" t="s">
        <v>22</v>
      </c>
      <c r="C42" s="38"/>
    </row>
    <row r="44" spans="2:3" x14ac:dyDescent="0.25">
      <c r="B44" s="1"/>
      <c r="C44" s="1"/>
    </row>
    <row r="46" spans="2:3" x14ac:dyDescent="0.25">
      <c r="B46" s="1"/>
      <c r="C46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ht="20.25" customHeight="1" x14ac:dyDescent="0.25"/>
    <row r="51" spans="2:3" x14ac:dyDescent="0.25">
      <c r="B51" s="1"/>
      <c r="C51" s="1"/>
    </row>
    <row r="53" spans="2:3" x14ac:dyDescent="0.25">
      <c r="B53" s="1"/>
      <c r="C53" s="1"/>
    </row>
    <row r="54" spans="2:3" x14ac:dyDescent="0.25">
      <c r="B54" s="1"/>
      <c r="C54" s="1"/>
    </row>
    <row r="56" spans="2:3" x14ac:dyDescent="0.25">
      <c r="B56" s="1"/>
      <c r="C56" s="41"/>
    </row>
    <row r="58" spans="2:3" x14ac:dyDescent="0.25">
      <c r="B58" s="1"/>
      <c r="C58" s="1"/>
    </row>
    <row r="59" spans="2:3" x14ac:dyDescent="0.25">
      <c r="B59" s="1"/>
      <c r="C59" s="1"/>
    </row>
    <row r="60" spans="2:3" ht="70.5" customHeight="1" x14ac:dyDescent="0.25">
      <c r="B60" s="1"/>
      <c r="C60" s="1"/>
    </row>
    <row r="61" spans="2:3" x14ac:dyDescent="0.25">
      <c r="C61" s="42"/>
    </row>
    <row r="62" spans="2:3" x14ac:dyDescent="0.25">
      <c r="C62" s="3"/>
    </row>
    <row r="63" spans="2:3" x14ac:dyDescent="0.25">
      <c r="B63" s="43"/>
      <c r="C63" s="3"/>
    </row>
    <row r="64" spans="2:3" x14ac:dyDescent="0.25">
      <c r="B64" s="43"/>
      <c r="C64" s="3"/>
    </row>
    <row r="65" spans="2:3" x14ac:dyDescent="0.25">
      <c r="B65" s="43"/>
      <c r="C65" s="3"/>
    </row>
    <row r="66" spans="2:3" x14ac:dyDescent="0.25">
      <c r="C66" s="3"/>
    </row>
    <row r="67" spans="2:3" x14ac:dyDescent="0.25">
      <c r="B67" s="1"/>
      <c r="C67" s="3"/>
    </row>
    <row r="68" spans="2:3" x14ac:dyDescent="0.25">
      <c r="C68" s="3"/>
    </row>
    <row r="69" spans="2:3" x14ac:dyDescent="0.25">
      <c r="C69" s="3"/>
    </row>
    <row r="70" spans="2:3" x14ac:dyDescent="0.25">
      <c r="C70" s="3"/>
    </row>
    <row r="71" spans="2:3" x14ac:dyDescent="0.25">
      <c r="B71" s="1"/>
      <c r="C71" s="3"/>
    </row>
    <row r="72" spans="2:3" x14ac:dyDescent="0.25">
      <c r="C72" s="3"/>
    </row>
    <row r="73" spans="2:3" x14ac:dyDescent="0.25">
      <c r="C73" s="3"/>
    </row>
    <row r="74" spans="2:3" x14ac:dyDescent="0.25">
      <c r="C74" s="3"/>
    </row>
    <row r="75" spans="2:3" x14ac:dyDescent="0.25">
      <c r="C75" s="3"/>
    </row>
    <row r="76" spans="2:3" x14ac:dyDescent="0.25">
      <c r="C76" s="3"/>
    </row>
    <row r="77" spans="2:3" x14ac:dyDescent="0.25">
      <c r="C77" s="3"/>
    </row>
    <row r="78" spans="2:3" x14ac:dyDescent="0.25">
      <c r="C78" s="3"/>
    </row>
    <row r="79" spans="2:3" x14ac:dyDescent="0.25">
      <c r="C79" s="3"/>
    </row>
    <row r="80" spans="2:3" x14ac:dyDescent="0.25">
      <c r="C80" s="3"/>
    </row>
    <row r="81" spans="2:3" x14ac:dyDescent="0.25">
      <c r="C81" s="3"/>
    </row>
    <row r="82" spans="2:3" x14ac:dyDescent="0.25">
      <c r="C82" s="3"/>
    </row>
    <row r="83" spans="2:3" x14ac:dyDescent="0.25">
      <c r="C83" s="3"/>
    </row>
    <row r="89" spans="2:3" x14ac:dyDescent="0.25">
      <c r="B89" s="1"/>
      <c r="C89" s="1"/>
    </row>
    <row r="90" spans="2:3" x14ac:dyDescent="0.25">
      <c r="B90" s="1"/>
      <c r="C90" s="1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6304-8BBD-452C-9BE9-406A24FBB172}">
  <dimension ref="B1:C155"/>
  <sheetViews>
    <sheetView workbookViewId="0">
      <selection sqref="A1:D83"/>
    </sheetView>
  </sheetViews>
  <sheetFormatPr defaultRowHeight="15" x14ac:dyDescent="0.25"/>
  <cols>
    <col min="2" max="2" width="23" customWidth="1"/>
    <col min="3" max="3" width="25.140625" customWidth="1"/>
  </cols>
  <sheetData>
    <row r="1" spans="2:3" x14ac:dyDescent="0.25">
      <c r="B1" s="1"/>
      <c r="C1" s="1"/>
    </row>
    <row r="2" spans="2:3" x14ac:dyDescent="0.25">
      <c r="B2" s="1"/>
      <c r="C2" s="1"/>
    </row>
    <row r="3" spans="2:3" x14ac:dyDescent="0.25">
      <c r="B3" s="1"/>
      <c r="C3" s="1"/>
    </row>
    <row r="4" spans="2:3" x14ac:dyDescent="0.25">
      <c r="B4" s="2"/>
      <c r="C4" s="2"/>
    </row>
    <row r="5" spans="2:3" ht="15.75" thickBot="1" x14ac:dyDescent="0.3">
      <c r="B5" s="1"/>
      <c r="C5" s="1"/>
    </row>
    <row r="6" spans="2:3" x14ac:dyDescent="0.25">
      <c r="B6" s="4" t="s">
        <v>14</v>
      </c>
      <c r="C6" s="5"/>
    </row>
    <row r="7" spans="2:3" x14ac:dyDescent="0.25">
      <c r="B7" s="6" t="s">
        <v>15</v>
      </c>
      <c r="C7" s="7"/>
    </row>
    <row r="8" spans="2:3" x14ac:dyDescent="0.25">
      <c r="B8" s="8" t="s">
        <v>23</v>
      </c>
      <c r="C8" s="9"/>
    </row>
    <row r="9" spans="2:3" x14ac:dyDescent="0.25">
      <c r="B9" s="10" t="s">
        <v>1</v>
      </c>
      <c r="C9" s="39">
        <v>46174</v>
      </c>
    </row>
    <row r="10" spans="2:3" x14ac:dyDescent="0.25">
      <c r="B10" s="11"/>
      <c r="C10" s="12"/>
    </row>
    <row r="11" spans="2:3" x14ac:dyDescent="0.25">
      <c r="B11" s="6" t="s">
        <v>0</v>
      </c>
      <c r="C11" s="13"/>
    </row>
    <row r="12" spans="2:3" x14ac:dyDescent="0.25">
      <c r="B12" s="6"/>
      <c r="C12" s="13"/>
    </row>
    <row r="13" spans="2:3" ht="69.75" customHeight="1" x14ac:dyDescent="0.25">
      <c r="B13" s="14"/>
      <c r="C13" s="15"/>
    </row>
    <row r="14" spans="2:3" x14ac:dyDescent="0.25">
      <c r="B14" s="8"/>
      <c r="C14" s="40" t="s">
        <v>16</v>
      </c>
    </row>
    <row r="15" spans="2:3" x14ac:dyDescent="0.25">
      <c r="B15" s="16" t="s">
        <v>25</v>
      </c>
      <c r="C15" s="17">
        <f>1305*438</f>
        <v>571590</v>
      </c>
    </row>
    <row r="16" spans="2:3" x14ac:dyDescent="0.25">
      <c r="B16" s="18" t="s">
        <v>2</v>
      </c>
      <c r="C16" s="19">
        <v>0</v>
      </c>
    </row>
    <row r="17" spans="2:3" x14ac:dyDescent="0.25">
      <c r="B17" s="20"/>
      <c r="C17" s="21"/>
    </row>
    <row r="18" spans="2:3" x14ac:dyDescent="0.25">
      <c r="B18" s="20"/>
      <c r="C18" s="21"/>
    </row>
    <row r="19" spans="2:3" x14ac:dyDescent="0.25">
      <c r="B19" s="22"/>
      <c r="C19" s="21"/>
    </row>
    <row r="20" spans="2:3" ht="15.75" thickBot="1" x14ac:dyDescent="0.3">
      <c r="B20" s="23" t="s">
        <v>17</v>
      </c>
      <c r="C20" s="24">
        <f>+C16+C15</f>
        <v>571590</v>
      </c>
    </row>
    <row r="21" spans="2:3" ht="15.75" thickTop="1" x14ac:dyDescent="0.25">
      <c r="B21" s="25"/>
      <c r="C21" s="26"/>
    </row>
    <row r="22" spans="2:3" x14ac:dyDescent="0.25">
      <c r="B22" s="27" t="s">
        <v>13</v>
      </c>
      <c r="C22" s="19"/>
    </row>
    <row r="23" spans="2:3" x14ac:dyDescent="0.25">
      <c r="B23" s="22"/>
      <c r="C23" s="21"/>
    </row>
    <row r="24" spans="2:3" x14ac:dyDescent="0.25">
      <c r="B24" s="10" t="s">
        <v>3</v>
      </c>
      <c r="C24" s="28">
        <f>+C16+C15</f>
        <v>571590</v>
      </c>
    </row>
    <row r="25" spans="2:3" ht="15.75" thickBot="1" x14ac:dyDescent="0.3">
      <c r="B25" s="29" t="s">
        <v>4</v>
      </c>
      <c r="C25" s="24">
        <f>+C24</f>
        <v>571590</v>
      </c>
    </row>
    <row r="26" spans="2:3" ht="15.75" thickTop="1" x14ac:dyDescent="0.25">
      <c r="B26" s="8"/>
      <c r="C26" s="30"/>
    </row>
    <row r="27" spans="2:3" x14ac:dyDescent="0.25">
      <c r="B27" s="31" t="s">
        <v>19</v>
      </c>
      <c r="C27" s="17">
        <f>571590*8%</f>
        <v>45727.200000000004</v>
      </c>
    </row>
    <row r="28" spans="2:3" x14ac:dyDescent="0.25">
      <c r="B28" s="32" t="s">
        <v>5</v>
      </c>
      <c r="C28" s="19">
        <v>0</v>
      </c>
    </row>
    <row r="29" spans="2:3" x14ac:dyDescent="0.25">
      <c r="B29" s="32" t="s">
        <v>6</v>
      </c>
      <c r="C29" s="19">
        <v>0</v>
      </c>
    </row>
    <row r="30" spans="2:3" x14ac:dyDescent="0.25">
      <c r="B30" s="25" t="s">
        <v>18</v>
      </c>
      <c r="C30" s="26">
        <v>111772</v>
      </c>
    </row>
    <row r="31" spans="2:3" x14ac:dyDescent="0.25">
      <c r="B31" s="33"/>
      <c r="C31" s="21"/>
    </row>
    <row r="32" spans="2:3" ht="15.75" thickBot="1" x14ac:dyDescent="0.3">
      <c r="B32" s="34" t="s">
        <v>7</v>
      </c>
      <c r="C32" s="24">
        <f>+C30+C27</f>
        <v>157499.20000000001</v>
      </c>
    </row>
    <row r="33" spans="2:3" ht="15.75" thickTop="1" x14ac:dyDescent="0.25">
      <c r="B33" s="8"/>
      <c r="C33" s="30"/>
    </row>
    <row r="34" spans="2:3" ht="15.75" thickBot="1" x14ac:dyDescent="0.3">
      <c r="B34" s="29" t="s">
        <v>8</v>
      </c>
      <c r="C34" s="24">
        <f>+C20-C32</f>
        <v>414090.8</v>
      </c>
    </row>
    <row r="35" spans="2:3" ht="15.75" thickTop="1" x14ac:dyDescent="0.25">
      <c r="B35" s="16" t="s">
        <v>9</v>
      </c>
      <c r="C35" s="17">
        <f>571590*12%</f>
        <v>68590.8</v>
      </c>
    </row>
    <row r="36" spans="2:3" x14ac:dyDescent="0.25">
      <c r="B36" s="35" t="s">
        <v>10</v>
      </c>
      <c r="C36" s="36">
        <f>571590*3%</f>
        <v>17147.7</v>
      </c>
    </row>
    <row r="37" spans="2:3" x14ac:dyDescent="0.25">
      <c r="B37" s="8"/>
      <c r="C37" s="9"/>
    </row>
    <row r="38" spans="2:3" x14ac:dyDescent="0.25">
      <c r="B38" s="8"/>
      <c r="C38" s="9"/>
    </row>
    <row r="39" spans="2:3" x14ac:dyDescent="0.25">
      <c r="B39" s="8" t="s">
        <v>12</v>
      </c>
      <c r="C39" s="9"/>
    </row>
    <row r="40" spans="2:3" x14ac:dyDescent="0.25">
      <c r="B40" s="8" t="s">
        <v>11</v>
      </c>
      <c r="C40" s="9"/>
    </row>
    <row r="41" spans="2:3" x14ac:dyDescent="0.25">
      <c r="B41" s="8" t="s">
        <v>20</v>
      </c>
      <c r="C41" s="9"/>
    </row>
    <row r="42" spans="2:3" x14ac:dyDescent="0.25">
      <c r="B42" s="6" t="s">
        <v>21</v>
      </c>
      <c r="C42" s="7"/>
    </row>
    <row r="43" spans="2:3" ht="15.75" thickBot="1" x14ac:dyDescent="0.3">
      <c r="B43" s="37" t="s">
        <v>22</v>
      </c>
      <c r="C43" s="38"/>
    </row>
    <row r="44" spans="2:3" x14ac:dyDescent="0.25">
      <c r="B44" s="2"/>
      <c r="C44" s="2"/>
    </row>
    <row r="45" spans="2:3" x14ac:dyDescent="0.25">
      <c r="B45" s="1"/>
      <c r="C45" s="1"/>
    </row>
    <row r="46" spans="2:3" x14ac:dyDescent="0.25">
      <c r="B46" s="2"/>
      <c r="C46" s="2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2"/>
      <c r="C51" s="2"/>
    </row>
    <row r="52" spans="2:3" x14ac:dyDescent="0.25">
      <c r="B52" s="1"/>
      <c r="C52" s="1"/>
    </row>
    <row r="53" spans="2:3" x14ac:dyDescent="0.25">
      <c r="B53" s="2"/>
      <c r="C53" s="2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2"/>
      <c r="C56" s="2"/>
    </row>
    <row r="57" spans="2:3" x14ac:dyDescent="0.25">
      <c r="B57" s="1"/>
      <c r="C57" s="41"/>
    </row>
    <row r="58" spans="2:3" x14ac:dyDescent="0.25">
      <c r="B58" s="2"/>
      <c r="C58" s="2"/>
    </row>
    <row r="59" spans="2:3" x14ac:dyDescent="0.25">
      <c r="B59" s="1"/>
      <c r="C59" s="1"/>
    </row>
    <row r="60" spans="2:3" x14ac:dyDescent="0.25">
      <c r="B60" s="1"/>
      <c r="C60" s="1"/>
    </row>
    <row r="61" spans="2:3" ht="48" customHeight="1" x14ac:dyDescent="0.25">
      <c r="B61" s="1"/>
      <c r="C61" s="1"/>
    </row>
    <row r="62" spans="2:3" x14ac:dyDescent="0.25">
      <c r="B62" s="2"/>
      <c r="C62" s="42"/>
    </row>
    <row r="63" spans="2:3" x14ac:dyDescent="0.25">
      <c r="B63" s="2"/>
      <c r="C63" s="3"/>
    </row>
    <row r="64" spans="2:3" x14ac:dyDescent="0.25">
      <c r="B64" s="43"/>
      <c r="C64" s="3"/>
    </row>
    <row r="65" spans="2:3" x14ac:dyDescent="0.25">
      <c r="B65" s="43"/>
      <c r="C65" s="3"/>
    </row>
    <row r="66" spans="2:3" x14ac:dyDescent="0.25">
      <c r="B66" s="43"/>
      <c r="C66" s="3"/>
    </row>
    <row r="67" spans="2:3" x14ac:dyDescent="0.25">
      <c r="B67" s="2"/>
      <c r="C67" s="3"/>
    </row>
    <row r="68" spans="2:3" x14ac:dyDescent="0.25">
      <c r="B68" s="1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1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  <row r="84" spans="2:3" x14ac:dyDescent="0.25">
      <c r="B84" s="2"/>
      <c r="C84" s="3"/>
    </row>
    <row r="85" spans="2:3" x14ac:dyDescent="0.25">
      <c r="B85" s="2"/>
      <c r="C85" s="2"/>
    </row>
    <row r="86" spans="2:3" x14ac:dyDescent="0.25">
      <c r="B86" s="2"/>
      <c r="C86" s="2"/>
    </row>
    <row r="87" spans="2:3" x14ac:dyDescent="0.25">
      <c r="B87" s="2"/>
      <c r="C87" s="2"/>
    </row>
    <row r="88" spans="2:3" x14ac:dyDescent="0.25">
      <c r="B88" s="2"/>
      <c r="C88" s="2"/>
    </row>
    <row r="89" spans="2:3" x14ac:dyDescent="0.25">
      <c r="B89" s="2"/>
      <c r="C89" s="2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2"/>
      <c r="C92" s="2"/>
    </row>
    <row r="93" spans="2:3" x14ac:dyDescent="0.25">
      <c r="B93" s="2"/>
      <c r="C93" s="2"/>
    </row>
    <row r="94" spans="2:3" x14ac:dyDescent="0.25">
      <c r="B94" s="2"/>
      <c r="C94" s="2"/>
    </row>
    <row r="95" spans="2:3" x14ac:dyDescent="0.25">
      <c r="B95" s="2"/>
      <c r="C95" s="2"/>
    </row>
    <row r="96" spans="2:3" x14ac:dyDescent="0.25">
      <c r="B96" s="2"/>
      <c r="C96" s="2"/>
    </row>
    <row r="97" spans="2:3" x14ac:dyDescent="0.25">
      <c r="B97" s="2"/>
      <c r="C97" s="2"/>
    </row>
    <row r="98" spans="2:3" x14ac:dyDescent="0.25">
      <c r="B98" s="2"/>
      <c r="C98" s="2"/>
    </row>
    <row r="99" spans="2:3" x14ac:dyDescent="0.25">
      <c r="B99" s="2"/>
      <c r="C99" s="2"/>
    </row>
    <row r="100" spans="2:3" x14ac:dyDescent="0.25">
      <c r="B100" s="2"/>
      <c r="C100" s="2"/>
    </row>
    <row r="101" spans="2:3" x14ac:dyDescent="0.25">
      <c r="B101" s="2"/>
      <c r="C101" s="2"/>
    </row>
    <row r="102" spans="2:3" x14ac:dyDescent="0.25">
      <c r="B102" s="2"/>
      <c r="C102" s="2"/>
    </row>
    <row r="103" spans="2:3" x14ac:dyDescent="0.25">
      <c r="B103" s="2"/>
      <c r="C103" s="2"/>
    </row>
    <row r="104" spans="2:3" x14ac:dyDescent="0.25">
      <c r="B104" s="2"/>
      <c r="C104" s="2"/>
    </row>
    <row r="105" spans="2:3" x14ac:dyDescent="0.25">
      <c r="B105" s="2"/>
      <c r="C105" s="2"/>
    </row>
    <row r="106" spans="2:3" x14ac:dyDescent="0.25">
      <c r="B106" s="2"/>
      <c r="C106" s="2"/>
    </row>
    <row r="107" spans="2:3" x14ac:dyDescent="0.25">
      <c r="B107" s="2"/>
      <c r="C107" s="2"/>
    </row>
    <row r="108" spans="2:3" x14ac:dyDescent="0.25">
      <c r="B108" s="2"/>
      <c r="C108" s="2"/>
    </row>
    <row r="109" spans="2:3" x14ac:dyDescent="0.25">
      <c r="B109" s="2"/>
      <c r="C109" s="2"/>
    </row>
    <row r="110" spans="2:3" x14ac:dyDescent="0.25">
      <c r="B110" s="2"/>
      <c r="C110" s="2"/>
    </row>
    <row r="111" spans="2:3" x14ac:dyDescent="0.25">
      <c r="B111" s="2"/>
      <c r="C111" s="2"/>
    </row>
    <row r="112" spans="2:3" x14ac:dyDescent="0.25">
      <c r="B112" s="2"/>
      <c r="C112" s="2"/>
    </row>
    <row r="113" spans="2:3" x14ac:dyDescent="0.25">
      <c r="B113" s="2"/>
      <c r="C113" s="2"/>
    </row>
    <row r="114" spans="2:3" x14ac:dyDescent="0.25">
      <c r="B114" s="2"/>
      <c r="C114" s="2"/>
    </row>
    <row r="115" spans="2:3" x14ac:dyDescent="0.25">
      <c r="B115" s="2"/>
      <c r="C115" s="2"/>
    </row>
    <row r="116" spans="2:3" x14ac:dyDescent="0.25">
      <c r="B116" s="2"/>
      <c r="C116" s="2"/>
    </row>
    <row r="117" spans="2:3" x14ac:dyDescent="0.25">
      <c r="B117" s="2"/>
      <c r="C117" s="2"/>
    </row>
    <row r="118" spans="2:3" x14ac:dyDescent="0.25">
      <c r="B118" s="2"/>
      <c r="C118" s="2"/>
    </row>
    <row r="119" spans="2:3" x14ac:dyDescent="0.25">
      <c r="B119" s="2"/>
      <c r="C119" s="2"/>
    </row>
    <row r="120" spans="2:3" x14ac:dyDescent="0.25">
      <c r="B120" s="2"/>
      <c r="C120" s="2"/>
    </row>
    <row r="121" spans="2:3" x14ac:dyDescent="0.25">
      <c r="B121" s="2"/>
      <c r="C121" s="2"/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61B9-954A-48DC-AB80-E45351677749}">
  <dimension ref="B1:C83"/>
  <sheetViews>
    <sheetView tabSelected="1" workbookViewId="0">
      <selection activeCell="I11" sqref="I11"/>
    </sheetView>
  </sheetViews>
  <sheetFormatPr defaultRowHeight="15" x14ac:dyDescent="0.25"/>
  <cols>
    <col min="2" max="2" width="23.140625" customWidth="1"/>
    <col min="3" max="3" width="23.28515625" customWidth="1"/>
  </cols>
  <sheetData>
    <row r="1" spans="2:3" x14ac:dyDescent="0.25">
      <c r="B1" s="1"/>
      <c r="C1" s="1"/>
    </row>
    <row r="2" spans="2:3" x14ac:dyDescent="0.25">
      <c r="B2" s="1"/>
      <c r="C2" s="1"/>
    </row>
    <row r="3" spans="2:3" x14ac:dyDescent="0.25">
      <c r="B3" s="1"/>
      <c r="C3" s="1"/>
    </row>
    <row r="4" spans="2:3" x14ac:dyDescent="0.25">
      <c r="B4" s="2"/>
      <c r="C4" s="2"/>
    </row>
    <row r="5" spans="2:3" ht="15.75" thickBot="1" x14ac:dyDescent="0.3">
      <c r="B5" s="1"/>
      <c r="C5" s="1"/>
    </row>
    <row r="6" spans="2:3" x14ac:dyDescent="0.25">
      <c r="B6" s="4" t="s">
        <v>14</v>
      </c>
      <c r="C6" s="5"/>
    </row>
    <row r="7" spans="2:3" x14ac:dyDescent="0.25">
      <c r="B7" s="6" t="s">
        <v>15</v>
      </c>
      <c r="C7" s="7"/>
    </row>
    <row r="8" spans="2:3" x14ac:dyDescent="0.25">
      <c r="B8" s="8" t="s">
        <v>23</v>
      </c>
      <c r="C8" s="9"/>
    </row>
    <row r="9" spans="2:3" x14ac:dyDescent="0.25">
      <c r="B9" s="10" t="s">
        <v>1</v>
      </c>
      <c r="C9" s="39">
        <v>46204</v>
      </c>
    </row>
    <row r="10" spans="2:3" x14ac:dyDescent="0.25">
      <c r="B10" s="11"/>
      <c r="C10" s="12"/>
    </row>
    <row r="11" spans="2:3" x14ac:dyDescent="0.25">
      <c r="B11" s="6" t="s">
        <v>0</v>
      </c>
      <c r="C11" s="13"/>
    </row>
    <row r="12" spans="2:3" x14ac:dyDescent="0.25">
      <c r="B12" s="6"/>
      <c r="C12" s="13"/>
    </row>
    <row r="13" spans="2:3" ht="75" customHeight="1" x14ac:dyDescent="0.25">
      <c r="B13" s="14"/>
      <c r="C13" s="15"/>
    </row>
    <row r="14" spans="2:3" x14ac:dyDescent="0.25">
      <c r="B14" s="8"/>
      <c r="C14" s="40" t="s">
        <v>16</v>
      </c>
    </row>
    <row r="15" spans="2:3" x14ac:dyDescent="0.25">
      <c r="B15" s="16" t="s">
        <v>25</v>
      </c>
      <c r="C15" s="17">
        <v>579264</v>
      </c>
    </row>
    <row r="16" spans="2:3" x14ac:dyDescent="0.25">
      <c r="B16" s="18" t="s">
        <v>2</v>
      </c>
      <c r="C16" s="19">
        <v>0</v>
      </c>
    </row>
    <row r="17" spans="2:3" x14ac:dyDescent="0.25">
      <c r="B17" s="20"/>
      <c r="C17" s="21"/>
    </row>
    <row r="18" spans="2:3" x14ac:dyDescent="0.25">
      <c r="B18" s="20"/>
      <c r="C18" s="21"/>
    </row>
    <row r="19" spans="2:3" x14ac:dyDescent="0.25">
      <c r="B19" s="22"/>
      <c r="C19" s="21"/>
    </row>
    <row r="20" spans="2:3" ht="15.75" thickBot="1" x14ac:dyDescent="0.3">
      <c r="B20" s="23" t="s">
        <v>17</v>
      </c>
      <c r="C20" s="24">
        <f>+C16+C15</f>
        <v>579264</v>
      </c>
    </row>
    <row r="21" spans="2:3" ht="15.75" thickTop="1" x14ac:dyDescent="0.25">
      <c r="B21" s="25"/>
      <c r="C21" s="26"/>
    </row>
    <row r="22" spans="2:3" x14ac:dyDescent="0.25">
      <c r="B22" s="27" t="s">
        <v>13</v>
      </c>
      <c r="C22" s="19"/>
    </row>
    <row r="23" spans="2:3" x14ac:dyDescent="0.25">
      <c r="B23" s="22"/>
      <c r="C23" s="21"/>
    </row>
    <row r="24" spans="2:3" x14ac:dyDescent="0.25">
      <c r="B24" s="10" t="s">
        <v>3</v>
      </c>
      <c r="C24" s="28">
        <f>+C16+C15</f>
        <v>579264</v>
      </c>
    </row>
    <row r="25" spans="2:3" ht="15.75" thickBot="1" x14ac:dyDescent="0.3">
      <c r="B25" s="29" t="s">
        <v>4</v>
      </c>
      <c r="C25" s="24">
        <f>+C24</f>
        <v>579264</v>
      </c>
    </row>
    <row r="26" spans="2:3" ht="15.75" thickTop="1" x14ac:dyDescent="0.25">
      <c r="B26" s="8"/>
      <c r="C26" s="30"/>
    </row>
    <row r="27" spans="2:3" x14ac:dyDescent="0.25">
      <c r="B27" s="31" t="s">
        <v>19</v>
      </c>
      <c r="C27" s="17">
        <v>46354</v>
      </c>
    </row>
    <row r="28" spans="2:3" x14ac:dyDescent="0.25">
      <c r="B28" s="32" t="s">
        <v>5</v>
      </c>
      <c r="C28" s="19">
        <v>0</v>
      </c>
    </row>
    <row r="29" spans="2:3" x14ac:dyDescent="0.25">
      <c r="B29" s="32" t="s">
        <v>6</v>
      </c>
      <c r="C29" s="19">
        <v>0</v>
      </c>
    </row>
    <row r="30" spans="2:3" x14ac:dyDescent="0.25">
      <c r="B30" s="25" t="s">
        <v>18</v>
      </c>
      <c r="C30" s="26">
        <v>105665</v>
      </c>
    </row>
    <row r="31" spans="2:3" x14ac:dyDescent="0.25">
      <c r="B31" s="33"/>
      <c r="C31" s="21"/>
    </row>
    <row r="32" spans="2:3" ht="15.75" thickBot="1" x14ac:dyDescent="0.3">
      <c r="B32" s="34" t="s">
        <v>7</v>
      </c>
      <c r="C32" s="24">
        <f>+C30+C27</f>
        <v>152019</v>
      </c>
    </row>
    <row r="33" spans="2:3" ht="15.75" thickTop="1" x14ac:dyDescent="0.25">
      <c r="B33" s="8"/>
      <c r="C33" s="30"/>
    </row>
    <row r="34" spans="2:3" ht="15.75" thickBot="1" x14ac:dyDescent="0.3">
      <c r="B34" s="29" t="s">
        <v>8</v>
      </c>
      <c r="C34" s="24">
        <f>+C20-C32</f>
        <v>427245</v>
      </c>
    </row>
    <row r="35" spans="2:3" ht="15.75" thickTop="1" x14ac:dyDescent="0.25">
      <c r="B35" s="16" t="s">
        <v>9</v>
      </c>
      <c r="C35" s="17">
        <v>69512</v>
      </c>
    </row>
    <row r="36" spans="2:3" ht="15.75" thickBot="1" x14ac:dyDescent="0.3">
      <c r="B36" s="8" t="s">
        <v>10</v>
      </c>
      <c r="C36" s="44">
        <v>17378</v>
      </c>
    </row>
    <row r="37" spans="2:3" x14ac:dyDescent="0.25">
      <c r="B37" s="45"/>
      <c r="C37" s="46"/>
    </row>
    <row r="38" spans="2:3" x14ac:dyDescent="0.25">
      <c r="B38" s="8"/>
      <c r="C38" s="47"/>
    </row>
    <row r="39" spans="2:3" x14ac:dyDescent="0.25">
      <c r="B39" s="8" t="s">
        <v>12</v>
      </c>
      <c r="C39" s="9"/>
    </row>
    <row r="40" spans="2:3" x14ac:dyDescent="0.25">
      <c r="B40" s="8" t="s">
        <v>11</v>
      </c>
      <c r="C40" s="9"/>
    </row>
    <row r="41" spans="2:3" x14ac:dyDescent="0.25">
      <c r="B41" s="8" t="s">
        <v>20</v>
      </c>
      <c r="C41" s="9"/>
    </row>
    <row r="42" spans="2:3" x14ac:dyDescent="0.25">
      <c r="B42" s="6" t="s">
        <v>21</v>
      </c>
      <c r="C42" s="7"/>
    </row>
    <row r="43" spans="2:3" ht="15.75" thickBot="1" x14ac:dyDescent="0.3">
      <c r="B43" s="37" t="s">
        <v>22</v>
      </c>
      <c r="C43" s="38"/>
    </row>
    <row r="44" spans="2:3" x14ac:dyDescent="0.25">
      <c r="B44" s="2"/>
      <c r="C44" s="2"/>
    </row>
    <row r="45" spans="2:3" x14ac:dyDescent="0.25">
      <c r="B45" s="1"/>
      <c r="C45" s="1"/>
    </row>
    <row r="46" spans="2:3" x14ac:dyDescent="0.25">
      <c r="B46" s="2"/>
      <c r="C46" s="2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2"/>
      <c r="C51" s="2"/>
    </row>
    <row r="52" spans="2:3" x14ac:dyDescent="0.25">
      <c r="B52" s="1"/>
      <c r="C52" s="1"/>
    </row>
    <row r="53" spans="2:3" x14ac:dyDescent="0.25">
      <c r="B53" s="2"/>
      <c r="C53" s="2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2"/>
      <c r="C56" s="2"/>
    </row>
    <row r="57" spans="2:3" x14ac:dyDescent="0.25">
      <c r="B57" s="1"/>
      <c r="C57" s="41"/>
    </row>
    <row r="58" spans="2:3" x14ac:dyDescent="0.25">
      <c r="B58" s="2"/>
      <c r="C58" s="2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2"/>
      <c r="C62" s="42"/>
    </row>
    <row r="63" spans="2:3" x14ac:dyDescent="0.25">
      <c r="B63" s="2"/>
      <c r="C63" s="3"/>
    </row>
    <row r="64" spans="2:3" x14ac:dyDescent="0.25">
      <c r="B64" s="43"/>
      <c r="C64" s="3"/>
    </row>
    <row r="65" spans="2:3" x14ac:dyDescent="0.25">
      <c r="B65" s="43"/>
      <c r="C65" s="3"/>
    </row>
    <row r="66" spans="2:3" x14ac:dyDescent="0.25">
      <c r="B66" s="43"/>
      <c r="C66" s="3"/>
    </row>
    <row r="67" spans="2:3" x14ac:dyDescent="0.25">
      <c r="B67" s="2"/>
      <c r="C67" s="3"/>
    </row>
    <row r="68" spans="2:3" x14ac:dyDescent="0.25">
      <c r="B68" s="1"/>
      <c r="C68" s="3"/>
    </row>
    <row r="69" spans="2:3" x14ac:dyDescent="0.25">
      <c r="B69" s="2"/>
      <c r="C69" s="3"/>
    </row>
    <row r="70" spans="2:3" x14ac:dyDescent="0.25">
      <c r="B70" s="2"/>
      <c r="C70" s="3"/>
    </row>
    <row r="71" spans="2:3" x14ac:dyDescent="0.25">
      <c r="B71" s="2"/>
      <c r="C71" s="3"/>
    </row>
    <row r="72" spans="2:3" x14ac:dyDescent="0.25">
      <c r="B72" s="1"/>
      <c r="C72" s="3"/>
    </row>
    <row r="73" spans="2:3" x14ac:dyDescent="0.25">
      <c r="B73" s="2"/>
      <c r="C73" s="3"/>
    </row>
    <row r="74" spans="2:3" x14ac:dyDescent="0.25">
      <c r="B74" s="2"/>
      <c r="C74" s="3"/>
    </row>
    <row r="75" spans="2:3" x14ac:dyDescent="0.25">
      <c r="B75" s="2"/>
      <c r="C75" s="3"/>
    </row>
    <row r="76" spans="2:3" x14ac:dyDescent="0.25">
      <c r="B76" s="2"/>
      <c r="C76" s="3"/>
    </row>
    <row r="77" spans="2:3" x14ac:dyDescent="0.25">
      <c r="B77" s="2"/>
      <c r="C77" s="3"/>
    </row>
    <row r="78" spans="2:3" x14ac:dyDescent="0.25">
      <c r="B78" s="2"/>
      <c r="C78" s="3"/>
    </row>
    <row r="79" spans="2:3" x14ac:dyDescent="0.25">
      <c r="B79" s="2"/>
      <c r="C79" s="3"/>
    </row>
    <row r="80" spans="2:3" x14ac:dyDescent="0.25">
      <c r="B80" s="2"/>
      <c r="C80" s="3"/>
    </row>
    <row r="81" spans="2:3" x14ac:dyDescent="0.25">
      <c r="B81" s="2"/>
      <c r="C81" s="3"/>
    </row>
    <row r="82" spans="2:3" x14ac:dyDescent="0.25">
      <c r="B82" s="2"/>
      <c r="C82" s="3"/>
    </row>
    <row r="83" spans="2:3" x14ac:dyDescent="0.25">
      <c r="B83" s="2"/>
      <c r="C8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APRIL 2026</vt:lpstr>
      <vt:lpstr>May2026</vt:lpstr>
      <vt:lpstr>JUNE 2026</vt:lpstr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2026-06-30T06:58:13Z</cp:lastPrinted>
  <dcterms:created xsi:type="dcterms:W3CDTF">2024-09-30T03:38:16Z</dcterms:created>
  <dcterms:modified xsi:type="dcterms:W3CDTF">2026-08-04T08:49:27Z</dcterms:modified>
</cp:coreProperties>
</file>