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ser\Desktop\"/>
    </mc:Choice>
  </mc:AlternateContent>
  <xr:revisionPtr revIDLastSave="0" documentId="13_ncr:1_{015E4AB7-03AA-4BBD-B974-95606036D7F2}" xr6:coauthVersionLast="47" xr6:coauthVersionMax="47" xr10:uidLastSave="{00000000-0000-0000-0000-000000000000}"/>
  <bookViews>
    <workbookView xWindow="-120" yWindow="-120" windowWidth="20730" windowHeight="11040" xr2:uid="{514892E3-BCD5-4799-80A6-294EE478BCBF}"/>
  </bookViews>
  <sheets>
    <sheet name="Piyr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" i="1" l="1"/>
  <c r="D18" i="1" s="1"/>
  <c r="D27" i="1"/>
  <c r="D28" i="1" s="1"/>
</calcChain>
</file>

<file path=xl/sharedStrings.xml><?xml version="1.0" encoding="utf-8"?>
<sst xmlns="http://schemas.openxmlformats.org/spreadsheetml/2006/main" count="17" uniqueCount="15">
  <si>
    <t>A</t>
  </si>
  <si>
    <t>B</t>
  </si>
  <si>
    <t>*DESCRIPTION*</t>
  </si>
  <si>
    <t>*AMOUNT [LKR]*</t>
  </si>
  <si>
    <t>Gross Salary</t>
  </si>
  <si>
    <t>Less: Employee EPF 8%</t>
  </si>
  <si>
    <t>Taxable Income</t>
  </si>
  <si>
    <t>Less: APIT</t>
  </si>
  <si>
    <t>*Net Salary Payable to Employee*</t>
  </si>
  <si>
    <t>0-150,000</t>
  </si>
  <si>
    <t>First 83,333</t>
  </si>
  <si>
    <t>Next 41,666</t>
  </si>
  <si>
    <t>Next 56,615</t>
  </si>
  <si>
    <t>APIT Calulation  (for Half a month Salary )</t>
  </si>
  <si>
    <t>Ms Piriyatharshini Senthil Kumaran - Half Month Salary Calculation -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</si>
</sst>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HP Simplified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9" fontId="2" fillId="0" borderId="0" xfId="0" applyNumberFormat="1" applyFont="1"/>
    <xf numFmtId="43" fontId="0" fillId="0" borderId="0" xfId="0" applyNumberFormat="1"/>
    <xf numFmtId="0" fontId="3" fillId="0" borderId="0" xfId="0" applyFont="1"/>
    <xf numFmtId="4" fontId="3" fillId="0" borderId="0" xfId="0" applyNumberFormat="1" applyFont="1"/>
    <xf numFmtId="0" fontId="3" fillId="0" borderId="3" xfId="0" applyFont="1" applyBorder="1"/>
    <xf numFmtId="0" fontId="3" fillId="0" borderId="5" xfId="0" applyFont="1" applyBorder="1"/>
    <xf numFmtId="4" fontId="3" fillId="0" borderId="4" xfId="0" applyNumberFormat="1" applyFont="1" applyBorder="1"/>
    <xf numFmtId="0" fontId="3" fillId="0" borderId="4" xfId="0" applyFont="1" applyBorder="1"/>
    <xf numFmtId="43" fontId="3" fillId="0" borderId="0" xfId="1" applyFont="1"/>
    <xf numFmtId="9" fontId="3" fillId="0" borderId="0" xfId="0" applyNumberFormat="1" applyFont="1"/>
    <xf numFmtId="43" fontId="3" fillId="0" borderId="1" xfId="1" applyFont="1" applyBorder="1"/>
    <xf numFmtId="43" fontId="3" fillId="0" borderId="2" xfId="1" applyFont="1" applyBorder="1"/>
    <xf numFmtId="43" fontId="3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87479-6D10-466E-A490-5B6116CB1058}">
  <dimension ref="A11:K30"/>
  <sheetViews>
    <sheetView tabSelected="1" workbookViewId="0">
      <selection sqref="A1:XFD1"/>
    </sheetView>
  </sheetViews>
  <sheetFormatPr defaultRowHeight="15" x14ac:dyDescent="0.25"/>
  <cols>
    <col min="1" max="1" width="2.85546875" style="4" customWidth="1"/>
    <col min="2" max="2" width="45" style="4" customWidth="1"/>
    <col min="3" max="3" width="8.5703125" style="4" customWidth="1"/>
    <col min="4" max="4" width="27.28515625" style="4" customWidth="1"/>
    <col min="5" max="5" width="8.5703125" style="4" customWidth="1"/>
    <col min="6" max="6" width="9.140625" style="4"/>
    <col min="7" max="7" width="11.5703125" style="4" bestFit="1" customWidth="1"/>
    <col min="8" max="8" width="13.28515625" bestFit="1" customWidth="1"/>
    <col min="9" max="9" width="11.28515625" bestFit="1" customWidth="1"/>
    <col min="13" max="13" width="14.28515625" bestFit="1" customWidth="1"/>
  </cols>
  <sheetData>
    <row r="11" spans="1:11" s="1" customFormat="1" ht="18.75" x14ac:dyDescent="0.3">
      <c r="A11" s="4"/>
      <c r="B11" s="4" t="s">
        <v>14</v>
      </c>
      <c r="C11" s="4"/>
      <c r="D11" s="4"/>
      <c r="E11" s="4"/>
      <c r="F11" s="4"/>
      <c r="G11" s="4"/>
    </row>
    <row r="12" spans="1:11" s="1" customFormat="1" ht="18.75" x14ac:dyDescent="0.3">
      <c r="A12" s="4"/>
      <c r="B12" s="4" t="s">
        <v>0</v>
      </c>
      <c r="C12" s="4"/>
      <c r="D12" s="4" t="s">
        <v>1</v>
      </c>
      <c r="E12" s="4"/>
      <c r="F12" s="4"/>
      <c r="G12" s="4"/>
    </row>
    <row r="13" spans="1:11" s="1" customFormat="1" ht="18.75" x14ac:dyDescent="0.3">
      <c r="A13" s="4"/>
      <c r="B13" s="4" t="s">
        <v>2</v>
      </c>
      <c r="C13" s="4"/>
      <c r="D13" s="4" t="s">
        <v>3</v>
      </c>
      <c r="E13" s="4"/>
      <c r="F13" s="4"/>
      <c r="G13" s="4"/>
    </row>
    <row r="14" spans="1:11" s="1" customFormat="1" ht="18.75" x14ac:dyDescent="0.3">
      <c r="A14" s="4"/>
      <c r="B14" s="4" t="s">
        <v>4</v>
      </c>
      <c r="C14" s="4"/>
      <c r="D14" s="5">
        <v>414946</v>
      </c>
      <c r="E14" s="4"/>
      <c r="F14" s="4"/>
      <c r="G14" s="4"/>
    </row>
    <row r="15" spans="1:11" s="1" customFormat="1" ht="18.75" x14ac:dyDescent="0.3">
      <c r="A15" s="4"/>
      <c r="B15" s="4" t="s">
        <v>5</v>
      </c>
      <c r="C15" s="4"/>
      <c r="D15" s="5">
        <v>33196</v>
      </c>
      <c r="E15" s="4"/>
      <c r="F15" s="4"/>
      <c r="G15" s="4"/>
      <c r="K15" s="2"/>
    </row>
    <row r="16" spans="1:11" s="1" customFormat="1" ht="18.75" x14ac:dyDescent="0.3">
      <c r="A16" s="4"/>
      <c r="B16" s="4" t="s">
        <v>6</v>
      </c>
      <c r="C16" s="4"/>
      <c r="D16" s="5">
        <f>+D14-D15</f>
        <v>381750</v>
      </c>
      <c r="E16" s="4"/>
      <c r="F16" s="4"/>
      <c r="G16" s="4"/>
      <c r="K16" s="2"/>
    </row>
    <row r="17" spans="1:11" s="1" customFormat="1" ht="19.5" thickBot="1" x14ac:dyDescent="0.35">
      <c r="A17" s="4"/>
      <c r="B17" s="4" t="s">
        <v>7</v>
      </c>
      <c r="C17" s="4"/>
      <c r="D17" s="5">
        <v>55381.4</v>
      </c>
      <c r="E17" s="4"/>
      <c r="F17" s="4"/>
      <c r="G17" s="4"/>
      <c r="K17" s="2"/>
    </row>
    <row r="18" spans="1:11" s="1" customFormat="1" ht="19.5" thickBot="1" x14ac:dyDescent="0.35">
      <c r="A18" s="4"/>
      <c r="B18" s="6" t="s">
        <v>8</v>
      </c>
      <c r="C18" s="7"/>
      <c r="D18" s="8">
        <f>+D16-D17</f>
        <v>326368.59999999998</v>
      </c>
      <c r="E18" s="4"/>
      <c r="F18" s="4"/>
      <c r="G18" s="4"/>
      <c r="K18" s="2"/>
    </row>
    <row r="19" spans="1:11" s="1" customFormat="1" ht="18.75" x14ac:dyDescent="0.3">
      <c r="A19" s="4"/>
      <c r="B19" s="4"/>
      <c r="C19" s="4"/>
      <c r="D19" s="4"/>
      <c r="E19" s="4"/>
      <c r="F19" s="4"/>
      <c r="G19" s="4"/>
      <c r="K19" s="2"/>
    </row>
    <row r="20" spans="1:11" s="1" customFormat="1" ht="19.5" thickBot="1" x14ac:dyDescent="0.35">
      <c r="A20" s="4"/>
      <c r="B20" s="4"/>
      <c r="C20" s="4"/>
      <c r="D20" s="4"/>
      <c r="E20" s="4"/>
      <c r="F20" s="4"/>
      <c r="G20" s="4"/>
    </row>
    <row r="21" spans="1:11" s="1" customFormat="1" ht="19.5" thickBot="1" x14ac:dyDescent="0.35">
      <c r="A21" s="4"/>
      <c r="B21" s="6" t="s">
        <v>13</v>
      </c>
      <c r="C21" s="7"/>
      <c r="D21" s="9"/>
      <c r="E21" s="4"/>
      <c r="F21" s="4"/>
      <c r="G21" s="4"/>
    </row>
    <row r="22" spans="1:11" s="1" customFormat="1" ht="18.75" x14ac:dyDescent="0.3">
      <c r="A22" s="4"/>
      <c r="B22" s="4" t="s">
        <v>9</v>
      </c>
      <c r="C22" s="10">
        <v>0</v>
      </c>
      <c r="D22" s="4"/>
      <c r="E22" s="4"/>
      <c r="F22" s="4"/>
      <c r="G22" s="4"/>
    </row>
    <row r="23" spans="1:11" x14ac:dyDescent="0.25">
      <c r="B23" s="4" t="s">
        <v>10</v>
      </c>
      <c r="C23" s="11">
        <v>0.06</v>
      </c>
      <c r="D23" s="10">
        <v>5000</v>
      </c>
    </row>
    <row r="24" spans="1:11" x14ac:dyDescent="0.25">
      <c r="B24" s="4" t="s">
        <v>11</v>
      </c>
      <c r="C24" s="11">
        <v>0.18</v>
      </c>
      <c r="D24" s="10">
        <v>7500</v>
      </c>
    </row>
    <row r="25" spans="1:11" x14ac:dyDescent="0.25">
      <c r="B25" s="4" t="s">
        <v>11</v>
      </c>
      <c r="C25" s="11">
        <v>0.24</v>
      </c>
      <c r="D25" s="10">
        <v>10000</v>
      </c>
    </row>
    <row r="26" spans="1:11" x14ac:dyDescent="0.25">
      <c r="B26" s="4" t="s">
        <v>11</v>
      </c>
      <c r="C26" s="11">
        <v>0.3</v>
      </c>
      <c r="D26" s="10">
        <v>12500</v>
      </c>
    </row>
    <row r="27" spans="1:11" x14ac:dyDescent="0.25">
      <c r="B27" s="4" t="s">
        <v>12</v>
      </c>
      <c r="C27" s="11">
        <v>0.36</v>
      </c>
      <c r="D27" s="12">
        <f>56615*36%</f>
        <v>20381.399999999998</v>
      </c>
      <c r="H27" s="3"/>
    </row>
    <row r="28" spans="1:11" x14ac:dyDescent="0.25">
      <c r="D28" s="13">
        <f>SUM(D23:D27)</f>
        <v>55381.399999999994</v>
      </c>
    </row>
    <row r="30" spans="1:11" x14ac:dyDescent="0.25">
      <c r="G30" s="14"/>
    </row>
  </sheetData>
  <pageMargins left="0.25" right="0.25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Piyri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2026-04-28T12:39:10Z</cp:lastPrinted>
  <dcterms:created xsi:type="dcterms:W3CDTF">2026-04-28T11:42:24Z</dcterms:created>
  <dcterms:modified xsi:type="dcterms:W3CDTF">2026-04-28T12:40:18Z</dcterms:modified>
</cp:coreProperties>
</file>