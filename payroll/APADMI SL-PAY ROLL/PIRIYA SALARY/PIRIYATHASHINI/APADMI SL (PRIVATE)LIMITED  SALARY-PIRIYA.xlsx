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PIRIYA SALARY\PIRIYATHASHINI\"/>
    </mc:Choice>
  </mc:AlternateContent>
  <xr:revisionPtr revIDLastSave="0" documentId="13_ncr:1_{D3B1716D-F15E-404E-8B67-4870E8BCCEFC}" xr6:coauthVersionLast="47" xr6:coauthVersionMax="47" xr10:uidLastSave="{00000000-0000-0000-0000-000000000000}"/>
  <bookViews>
    <workbookView xWindow="-120" yWindow="-120" windowWidth="20640" windowHeight="11040" tabRatio="601" activeTab="4" xr2:uid="{00000000-000D-0000-FFFF-FFFF00000000}"/>
  </bookViews>
  <sheets>
    <sheet name="APRIL 2026" sheetId="1" r:id="rId1"/>
    <sheet name="May2026" sheetId="2" r:id="rId2"/>
    <sheet name="JUNE 2026" sheetId="3" r:id="rId3"/>
    <sheet name="July 2026" sheetId="4" r:id="rId4"/>
    <sheet name="Aug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5" l="1"/>
  <c r="C20" i="5"/>
  <c r="C21" i="5" s="1"/>
  <c r="C16" i="5"/>
  <c r="C15" i="4"/>
  <c r="C19" i="4"/>
  <c r="C31" i="3"/>
  <c r="C30" i="3"/>
  <c r="C22" i="3"/>
  <c r="C27" i="3" s="1"/>
  <c r="C10" i="3"/>
  <c r="C19" i="3" s="1"/>
  <c r="C20" i="3" s="1"/>
  <c r="C15" i="3"/>
  <c r="C22" i="2"/>
  <c r="C30" i="5" l="1"/>
  <c r="C27" i="4"/>
  <c r="C29" i="4" s="1"/>
  <c r="C20" i="4"/>
  <c r="C29" i="3"/>
  <c r="C27" i="2"/>
  <c r="C19" i="2"/>
  <c r="C20" i="2" s="1"/>
  <c r="C15" i="2"/>
  <c r="D31" i="1"/>
  <c r="C29" i="2" l="1"/>
  <c r="D19" i="1"/>
  <c r="D33" i="1" s="1"/>
  <c r="D23" i="1"/>
  <c r="D24" i="1" l="1"/>
</calcChain>
</file>

<file path=xl/sharedStrings.xml><?xml version="1.0" encoding="utf-8"?>
<sst xmlns="http://schemas.openxmlformats.org/spreadsheetml/2006/main" count="126" uniqueCount="27">
  <si>
    <t>Name</t>
  </si>
  <si>
    <t>Month</t>
  </si>
  <si>
    <t>Special  Allowance</t>
  </si>
  <si>
    <t>Net total</t>
  </si>
  <si>
    <t>Gross Pay</t>
  </si>
  <si>
    <t>(-)Advance</t>
  </si>
  <si>
    <t>(-) Loan</t>
  </si>
  <si>
    <t>Total Deduction</t>
  </si>
  <si>
    <t>Balance Pay</t>
  </si>
  <si>
    <t>EPF  12%</t>
  </si>
  <si>
    <t>ETF  3%</t>
  </si>
  <si>
    <t>Signature</t>
  </si>
  <si>
    <t>…..........................................</t>
  </si>
  <si>
    <t>(-) No Pay/Late</t>
  </si>
  <si>
    <t>APADMI SL (PRIVATE)LIMITED</t>
  </si>
  <si>
    <t>Monthly Payroll 2026-2027</t>
  </si>
  <si>
    <t>EPF NO :01</t>
  </si>
  <si>
    <t>LKR</t>
  </si>
  <si>
    <t>Total (Gross)</t>
  </si>
  <si>
    <t>(-) APIT</t>
  </si>
  <si>
    <t>(-)EPF 8%</t>
  </si>
  <si>
    <t>Basic Pay (GBP 1939) (Half)</t>
  </si>
  <si>
    <t>Spillburg Holdings (Pvt)ltd</t>
  </si>
  <si>
    <t xml:space="preserve">Office 14, Basement Level </t>
  </si>
  <si>
    <t>Cinnamon Lake side  Hotel  -Colombo 02</t>
  </si>
  <si>
    <t xml:space="preserve">Basic Pay (GBP 1939) </t>
  </si>
  <si>
    <t>.@ 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</si>
</sst>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/>
    <xf numFmtId="43" fontId="3" fillId="0" borderId="0" xfId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10" xfId="0" applyFont="1" applyBorder="1"/>
    <xf numFmtId="43" fontId="3" fillId="0" borderId="11" xfId="1" applyFont="1" applyBorder="1"/>
    <xf numFmtId="0" fontId="2" fillId="0" borderId="26" xfId="0" applyFont="1" applyBorder="1"/>
    <xf numFmtId="0" fontId="2" fillId="0" borderId="27" xfId="0" applyFont="1" applyBorder="1"/>
    <xf numFmtId="17" fontId="2" fillId="0" borderId="6" xfId="0" applyNumberFormat="1" applyFont="1" applyBorder="1"/>
    <xf numFmtId="0" fontId="3" fillId="0" borderId="4" xfId="0" applyFont="1" applyBorder="1" applyAlignment="1">
      <alignment horizontal="center"/>
    </xf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3" fontId="3" fillId="0" borderId="9" xfId="1" applyFont="1" applyBorder="1"/>
    <xf numFmtId="0" fontId="3" fillId="0" borderId="1" xfId="0" applyFont="1" applyBorder="1"/>
    <xf numFmtId="0" fontId="0" fillId="0" borderId="2" xfId="0" applyBorder="1"/>
    <xf numFmtId="0" fontId="5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8</xdr:row>
      <xdr:rowOff>19043</xdr:rowOff>
    </xdr:from>
    <xdr:to>
      <xdr:col>3</xdr:col>
      <xdr:colOff>609600</xdr:colOff>
      <xdr:row>11</xdr:row>
      <xdr:rowOff>619125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078E9C-0F72-88E4-3E5F-BAD983909B6D}"/>
            </a:ext>
          </a:extLst>
        </xdr:cNvPr>
        <xdr:cNvSpPr txBox="1"/>
      </xdr:nvSpPr>
      <xdr:spPr>
        <a:xfrm rot="16200000">
          <a:off x="1490660" y="2224084"/>
          <a:ext cx="11715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0551344-E783-5886-7229-CA438876F552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95030BB-BF5C-8B77-447F-F40923738F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4</xdr:row>
      <xdr:rowOff>19043</xdr:rowOff>
    </xdr:from>
    <xdr:to>
      <xdr:col>2</xdr:col>
      <xdr:colOff>609600</xdr:colOff>
      <xdr:row>7</xdr:row>
      <xdr:rowOff>619125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866DC4-D1AD-43EF-BD2B-4F4DCAA53A06}"/>
            </a:ext>
          </a:extLst>
        </xdr:cNvPr>
        <xdr:cNvSpPr txBox="1"/>
      </xdr:nvSpPr>
      <xdr:spPr>
        <a:xfrm rot="16200000">
          <a:off x="2509835" y="1843084"/>
          <a:ext cx="11715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0D9B8D2-63F5-43EF-92C5-D798608391B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47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8F80B51-281B-4A87-B6DA-E889A3C1E750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95</xdr:row>
      <xdr:rowOff>0</xdr:rowOff>
    </xdr:from>
    <xdr:ext cx="304800" cy="31432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5377DDA-EBD4-4EB0-AEE9-486BEF531E26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4</xdr:row>
      <xdr:rowOff>19043</xdr:rowOff>
    </xdr:from>
    <xdr:to>
      <xdr:col>2</xdr:col>
      <xdr:colOff>609601</xdr:colOff>
      <xdr:row>7</xdr:row>
      <xdr:rowOff>552450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A8E5E8-EC06-4C49-864E-CB44485E266D}"/>
            </a:ext>
          </a:extLst>
        </xdr:cNvPr>
        <xdr:cNvSpPr txBox="1"/>
      </xdr:nvSpPr>
      <xdr:spPr>
        <a:xfrm rot="16200000">
          <a:off x="1904998" y="1038222"/>
          <a:ext cx="1104907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5A8D507-76A6-448C-8433-D600412E5B7C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47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F428E97-9684-494A-9179-C01B1E6CF40F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95</xdr:row>
      <xdr:rowOff>0</xdr:rowOff>
    </xdr:from>
    <xdr:ext cx="304800" cy="31432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F953773-69D6-495A-9071-0EB8B3BE77C4}"/>
            </a:ext>
          </a:extLst>
        </xdr:cNvPr>
        <xdr:cNvSpPr>
          <a:spLocks noChangeAspect="1" noChangeArrowheads="1"/>
        </xdr:cNvSpPr>
      </xdr:nvSpPr>
      <xdr:spPr bwMode="auto">
        <a:xfrm>
          <a:off x="409575" y="19545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4</xdr:row>
      <xdr:rowOff>19043</xdr:rowOff>
    </xdr:from>
    <xdr:to>
      <xdr:col>2</xdr:col>
      <xdr:colOff>609601</xdr:colOff>
      <xdr:row>7</xdr:row>
      <xdr:rowOff>552450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9D47A2-3DDD-4B97-9D12-760E12AEB5A9}"/>
            </a:ext>
          </a:extLst>
        </xdr:cNvPr>
        <xdr:cNvSpPr txBox="1"/>
      </xdr:nvSpPr>
      <xdr:spPr>
        <a:xfrm rot="16200000">
          <a:off x="1904998" y="1038222"/>
          <a:ext cx="1104907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1B3333D-BB81-4CDB-A14B-CD71BD5A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47</xdr:row>
      <xdr:rowOff>0</xdr:rowOff>
    </xdr:from>
    <xdr:ext cx="304800" cy="31432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B3730C4-3EA1-41AA-8B43-44329760F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67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304799</xdr:colOff>
      <xdr:row>32</xdr:row>
      <xdr:rowOff>0</xdr:rowOff>
    </xdr:from>
    <xdr:to>
      <xdr:col>2</xdr:col>
      <xdr:colOff>1819274</xdr:colOff>
      <xdr:row>36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A7EA3-3964-C7E1-0ACF-D59E86413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4" y="6724650"/>
          <a:ext cx="15144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19052</xdr:colOff>
      <xdr:row>5</xdr:row>
      <xdr:rowOff>19042</xdr:rowOff>
    </xdr:from>
    <xdr:to>
      <xdr:col>2</xdr:col>
      <xdr:colOff>609601</xdr:colOff>
      <xdr:row>9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F16DA-01EC-4CAC-9B5F-715B6FB68FA0}"/>
            </a:ext>
          </a:extLst>
        </xdr:cNvPr>
        <xdr:cNvSpPr txBox="1"/>
      </xdr:nvSpPr>
      <xdr:spPr>
        <a:xfrm rot="16200000">
          <a:off x="1457323" y="1457321"/>
          <a:ext cx="1543057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Piriyatharshini Senthil kumaran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94244EB-5733-4565-85B0-F2EDDD2E0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304799</xdr:colOff>
      <xdr:row>33</xdr:row>
      <xdr:rowOff>0</xdr:rowOff>
    </xdr:from>
    <xdr:to>
      <xdr:col>3</xdr:col>
      <xdr:colOff>95249</xdr:colOff>
      <xdr:row>37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40CCFD-AF65-49B1-B503-C821B3F62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4" y="6734175"/>
          <a:ext cx="15144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.@%20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86"/>
  <sheetViews>
    <sheetView topLeftCell="A37" workbookViewId="0">
      <selection activeCell="J9" sqref="J9"/>
    </sheetView>
  </sheetViews>
  <sheetFormatPr defaultRowHeight="15" x14ac:dyDescent="0.25"/>
  <cols>
    <col min="2" max="2" width="5.7109375" customWidth="1"/>
    <col min="3" max="3" width="26.85546875" style="2" customWidth="1"/>
    <col min="4" max="4" width="19.7109375" style="2" customWidth="1"/>
    <col min="5" max="5" width="5.7109375" style="2" customWidth="1"/>
  </cols>
  <sheetData>
    <row r="4" spans="3:5" ht="15.75" thickBot="1" x14ac:dyDescent="0.3"/>
    <row r="5" spans="3:5" x14ac:dyDescent="0.25">
      <c r="C5" s="5" t="s">
        <v>14</v>
      </c>
      <c r="D5" s="6"/>
      <c r="E5" s="1"/>
    </row>
    <row r="6" spans="3:5" x14ac:dyDescent="0.25">
      <c r="C6" s="7" t="s">
        <v>15</v>
      </c>
      <c r="D6" s="8"/>
      <c r="E6" s="1"/>
    </row>
    <row r="7" spans="3:5" x14ac:dyDescent="0.25">
      <c r="C7" s="9" t="s">
        <v>16</v>
      </c>
      <c r="D7" s="10"/>
    </row>
    <row r="8" spans="3:5" x14ac:dyDescent="0.25">
      <c r="C8" s="11" t="s">
        <v>1</v>
      </c>
      <c r="D8" s="40">
        <v>46113</v>
      </c>
      <c r="E8" s="1"/>
    </row>
    <row r="9" spans="3:5" x14ac:dyDescent="0.25">
      <c r="C9" s="12"/>
      <c r="D9" s="13"/>
    </row>
    <row r="10" spans="3:5" x14ac:dyDescent="0.25">
      <c r="C10" s="7" t="s">
        <v>0</v>
      </c>
      <c r="D10" s="14"/>
      <c r="E10" s="1"/>
    </row>
    <row r="11" spans="3:5" x14ac:dyDescent="0.25">
      <c r="C11" s="7"/>
      <c r="D11" s="14"/>
      <c r="E11" s="1"/>
    </row>
    <row r="12" spans="3:5" ht="56.25" customHeight="1" x14ac:dyDescent="0.25">
      <c r="C12" s="15"/>
      <c r="D12" s="16"/>
      <c r="E12" s="1"/>
    </row>
    <row r="13" spans="3:5" ht="13.5" customHeight="1" x14ac:dyDescent="0.25">
      <c r="C13" s="9"/>
      <c r="D13" s="41" t="s">
        <v>17</v>
      </c>
    </row>
    <row r="14" spans="3:5" x14ac:dyDescent="0.25">
      <c r="C14" s="17" t="s">
        <v>21</v>
      </c>
      <c r="D14" s="18">
        <v>442609</v>
      </c>
      <c r="E14" s="4"/>
    </row>
    <row r="15" spans="3:5" x14ac:dyDescent="0.25">
      <c r="C15" s="19" t="s">
        <v>2</v>
      </c>
      <c r="D15" s="20">
        <v>0</v>
      </c>
      <c r="E15" s="4"/>
    </row>
    <row r="16" spans="3:5" x14ac:dyDescent="0.25">
      <c r="C16" s="21"/>
      <c r="D16" s="22"/>
      <c r="E16" s="4"/>
    </row>
    <row r="17" spans="3:5" x14ac:dyDescent="0.25">
      <c r="C17" s="21"/>
      <c r="D17" s="22"/>
      <c r="E17" s="4"/>
    </row>
    <row r="18" spans="3:5" x14ac:dyDescent="0.25">
      <c r="C18" s="23"/>
      <c r="D18" s="22"/>
      <c r="E18" s="4"/>
    </row>
    <row r="19" spans="3:5" ht="15.75" thickBot="1" x14ac:dyDescent="0.3">
      <c r="C19" s="24" t="s">
        <v>18</v>
      </c>
      <c r="D19" s="25">
        <f>+D15+D14</f>
        <v>442609</v>
      </c>
      <c r="E19" s="4"/>
    </row>
    <row r="20" spans="3:5" ht="15.75" thickTop="1" x14ac:dyDescent="0.25">
      <c r="C20" s="26"/>
      <c r="D20" s="27"/>
      <c r="E20" s="4"/>
    </row>
    <row r="21" spans="3:5" x14ac:dyDescent="0.25">
      <c r="C21" s="28" t="s">
        <v>13</v>
      </c>
      <c r="D21" s="20"/>
      <c r="E21" s="4"/>
    </row>
    <row r="22" spans="3:5" x14ac:dyDescent="0.25">
      <c r="C22" s="23"/>
      <c r="D22" s="22"/>
      <c r="E22" s="4"/>
    </row>
    <row r="23" spans="3:5" x14ac:dyDescent="0.25">
      <c r="C23" s="11" t="s">
        <v>3</v>
      </c>
      <c r="D23" s="29">
        <f>+D15+D14</f>
        <v>442609</v>
      </c>
      <c r="E23" s="4"/>
    </row>
    <row r="24" spans="3:5" ht="15.75" thickBot="1" x14ac:dyDescent="0.3">
      <c r="C24" s="30" t="s">
        <v>4</v>
      </c>
      <c r="D24" s="25">
        <f>+D23</f>
        <v>442609</v>
      </c>
      <c r="E24" s="4"/>
    </row>
    <row r="25" spans="3:5" ht="15.75" thickTop="1" x14ac:dyDescent="0.25">
      <c r="C25" s="9"/>
      <c r="D25" s="31"/>
      <c r="E25" s="3"/>
    </row>
    <row r="26" spans="3:5" x14ac:dyDescent="0.25">
      <c r="C26" s="32" t="s">
        <v>20</v>
      </c>
      <c r="D26" s="18">
        <v>35408</v>
      </c>
      <c r="E26" s="4"/>
    </row>
    <row r="27" spans="3:5" x14ac:dyDescent="0.25">
      <c r="C27" s="33" t="s">
        <v>5</v>
      </c>
      <c r="D27" s="20">
        <v>0</v>
      </c>
      <c r="E27" s="4"/>
    </row>
    <row r="28" spans="3:5" x14ac:dyDescent="0.25">
      <c r="C28" s="33" t="s">
        <v>6</v>
      </c>
      <c r="D28" s="20">
        <v>0</v>
      </c>
      <c r="E28" s="4"/>
    </row>
    <row r="29" spans="3:5" x14ac:dyDescent="0.25">
      <c r="C29" s="26" t="s">
        <v>19</v>
      </c>
      <c r="D29" s="27">
        <v>65340</v>
      </c>
      <c r="E29" s="4"/>
    </row>
    <row r="30" spans="3:5" x14ac:dyDescent="0.25">
      <c r="C30" s="34"/>
      <c r="D30" s="22"/>
      <c r="E30" s="4"/>
    </row>
    <row r="31" spans="3:5" ht="15.75" thickBot="1" x14ac:dyDescent="0.3">
      <c r="C31" s="35" t="s">
        <v>7</v>
      </c>
      <c r="D31" s="25">
        <f>+D29+D26</f>
        <v>100748</v>
      </c>
      <c r="E31" s="4"/>
    </row>
    <row r="32" spans="3:5" ht="15.75" thickTop="1" x14ac:dyDescent="0.25">
      <c r="C32" s="9"/>
      <c r="D32" s="31"/>
      <c r="E32" s="3"/>
    </row>
    <row r="33" spans="3:5" ht="15.75" thickBot="1" x14ac:dyDescent="0.3">
      <c r="C33" s="30" t="s">
        <v>8</v>
      </c>
      <c r="D33" s="25">
        <f>+D19-D31</f>
        <v>341861</v>
      </c>
      <c r="E33" s="4"/>
    </row>
    <row r="34" spans="3:5" ht="15.75" thickTop="1" x14ac:dyDescent="0.25">
      <c r="C34" s="17" t="s">
        <v>9</v>
      </c>
      <c r="D34" s="18">
        <v>53113</v>
      </c>
      <c r="E34" s="4"/>
    </row>
    <row r="35" spans="3:5" x14ac:dyDescent="0.25">
      <c r="C35" s="36" t="s">
        <v>10</v>
      </c>
      <c r="D35" s="37">
        <v>13278</v>
      </c>
      <c r="E35" s="4"/>
    </row>
    <row r="36" spans="3:5" x14ac:dyDescent="0.25">
      <c r="C36" s="9"/>
      <c r="D36" s="10"/>
    </row>
    <row r="37" spans="3:5" x14ac:dyDescent="0.25">
      <c r="C37" s="9"/>
      <c r="D37" s="10"/>
    </row>
    <row r="38" spans="3:5" x14ac:dyDescent="0.25">
      <c r="C38" s="9" t="s">
        <v>12</v>
      </c>
      <c r="D38" s="10"/>
    </row>
    <row r="39" spans="3:5" x14ac:dyDescent="0.25">
      <c r="C39" s="9" t="s">
        <v>11</v>
      </c>
      <c r="D39" s="10"/>
    </row>
    <row r="40" spans="3:5" x14ac:dyDescent="0.25">
      <c r="C40" s="9" t="s">
        <v>22</v>
      </c>
      <c r="D40" s="10"/>
    </row>
    <row r="41" spans="3:5" x14ac:dyDescent="0.25">
      <c r="C41" s="7" t="s">
        <v>23</v>
      </c>
      <c r="D41" s="8"/>
      <c r="E41" s="1"/>
    </row>
    <row r="42" spans="3:5" ht="15.75" thickBot="1" x14ac:dyDescent="0.3">
      <c r="C42" s="38" t="s">
        <v>24</v>
      </c>
      <c r="D42" s="39"/>
      <c r="E42" s="1"/>
    </row>
    <row r="44" spans="3:5" x14ac:dyDescent="0.25">
      <c r="C44" s="1"/>
      <c r="D44" s="1"/>
      <c r="E44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ht="48" customHeight="1" x14ac:dyDescent="0.25">
      <c r="C48" s="1"/>
      <c r="D48" s="1"/>
    </row>
    <row r="49" spans="3:4" x14ac:dyDescent="0.25">
      <c r="C49" s="1"/>
      <c r="D49" s="1"/>
    </row>
    <row r="51" spans="3:4" x14ac:dyDescent="0.25">
      <c r="C51" s="1"/>
      <c r="D51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7" spans="3:4" x14ac:dyDescent="0.25">
      <c r="D57" s="4"/>
    </row>
    <row r="58" spans="3:4" x14ac:dyDescent="0.25">
      <c r="D58" s="4"/>
    </row>
    <row r="59" spans="3:4" x14ac:dyDescent="0.25">
      <c r="D59" s="4"/>
    </row>
    <row r="60" spans="3:4" x14ac:dyDescent="0.25">
      <c r="D60" s="4"/>
    </row>
    <row r="61" spans="3:4" x14ac:dyDescent="0.25">
      <c r="D61" s="4"/>
    </row>
    <row r="62" spans="3:4" x14ac:dyDescent="0.25">
      <c r="C62" s="1"/>
      <c r="D62" s="4"/>
    </row>
    <row r="63" spans="3:4" x14ac:dyDescent="0.25">
      <c r="D63" s="4"/>
    </row>
    <row r="64" spans="3:4" x14ac:dyDescent="0.25">
      <c r="D64" s="4"/>
    </row>
    <row r="65" spans="3:4" x14ac:dyDescent="0.25">
      <c r="D65" s="4"/>
    </row>
    <row r="66" spans="3:4" x14ac:dyDescent="0.25">
      <c r="C66" s="1"/>
      <c r="D66" s="4"/>
    </row>
    <row r="67" spans="3:4" x14ac:dyDescent="0.25">
      <c r="D67" s="4"/>
    </row>
    <row r="68" spans="3:4" x14ac:dyDescent="0.25">
      <c r="D68" s="4"/>
    </row>
    <row r="69" spans="3:4" x14ac:dyDescent="0.25">
      <c r="D69" s="4"/>
    </row>
    <row r="70" spans="3:4" x14ac:dyDescent="0.25">
      <c r="D70" s="4"/>
    </row>
    <row r="71" spans="3:4" x14ac:dyDescent="0.25">
      <c r="D71" s="4"/>
    </row>
    <row r="72" spans="3:4" x14ac:dyDescent="0.25">
      <c r="D72" s="4"/>
    </row>
    <row r="73" spans="3:4" x14ac:dyDescent="0.25">
      <c r="D73" s="4"/>
    </row>
    <row r="74" spans="3:4" x14ac:dyDescent="0.25">
      <c r="D74" s="4"/>
    </row>
    <row r="75" spans="3:4" x14ac:dyDescent="0.25">
      <c r="D75" s="4"/>
    </row>
    <row r="76" spans="3:4" x14ac:dyDescent="0.25">
      <c r="D76" s="4"/>
    </row>
    <row r="77" spans="3:4" x14ac:dyDescent="0.25">
      <c r="D77" s="4"/>
    </row>
    <row r="78" spans="3:4" x14ac:dyDescent="0.25">
      <c r="D78" s="4"/>
    </row>
    <row r="84" spans="3:5" x14ac:dyDescent="0.25">
      <c r="D84"/>
    </row>
    <row r="85" spans="3:5" x14ac:dyDescent="0.25">
      <c r="C85"/>
      <c r="E85"/>
    </row>
    <row r="86" spans="3:5" x14ac:dyDescent="0.25">
      <c r="C86"/>
      <c r="E86"/>
    </row>
  </sheetData>
  <pageMargins left="0.25" right="0.25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141-2A00-4B95-ABFC-006D9DB5913D}">
  <dimension ref="B1:C133"/>
  <sheetViews>
    <sheetView workbookViewId="0">
      <selection activeCell="A45" sqref="A45:F139"/>
    </sheetView>
  </sheetViews>
  <sheetFormatPr defaultRowHeight="15" x14ac:dyDescent="0.25"/>
  <cols>
    <col min="1" max="1" width="6.140625" customWidth="1"/>
    <col min="2" max="2" width="26.85546875" style="2" customWidth="1"/>
    <col min="3" max="3" width="19.7109375" style="2" customWidth="1"/>
  </cols>
  <sheetData>
    <row r="1" spans="2:3" x14ac:dyDescent="0.25">
      <c r="B1" s="5" t="s">
        <v>14</v>
      </c>
      <c r="C1" s="6"/>
    </row>
    <row r="2" spans="2:3" x14ac:dyDescent="0.25">
      <c r="B2" s="7" t="s">
        <v>15</v>
      </c>
      <c r="C2" s="8"/>
    </row>
    <row r="3" spans="2:3" x14ac:dyDescent="0.25">
      <c r="B3" s="9" t="s">
        <v>16</v>
      </c>
      <c r="C3" s="10"/>
    </row>
    <row r="4" spans="2:3" x14ac:dyDescent="0.25">
      <c r="B4" s="11" t="s">
        <v>1</v>
      </c>
      <c r="C4" s="40">
        <v>46143</v>
      </c>
    </row>
    <row r="5" spans="2:3" x14ac:dyDescent="0.25">
      <c r="B5" s="12"/>
      <c r="C5" s="13"/>
    </row>
    <row r="6" spans="2:3" x14ac:dyDescent="0.25">
      <c r="B6" s="7" t="s">
        <v>0</v>
      </c>
      <c r="C6" s="14"/>
    </row>
    <row r="7" spans="2:3" x14ac:dyDescent="0.25">
      <c r="B7" s="7"/>
      <c r="C7" s="14"/>
    </row>
    <row r="8" spans="2:3" ht="50.25" customHeight="1" x14ac:dyDescent="0.25">
      <c r="B8" s="15"/>
      <c r="C8" s="16"/>
    </row>
    <row r="9" spans="2:3" x14ac:dyDescent="0.25">
      <c r="B9" s="9"/>
      <c r="C9" s="41" t="s">
        <v>17</v>
      </c>
    </row>
    <row r="10" spans="2:3" x14ac:dyDescent="0.25">
      <c r="B10" s="17" t="s">
        <v>25</v>
      </c>
      <c r="C10" s="18">
        <v>880306</v>
      </c>
    </row>
    <row r="11" spans="2:3" x14ac:dyDescent="0.25">
      <c r="B11" s="19" t="s">
        <v>2</v>
      </c>
      <c r="C11" s="20">
        <v>0</v>
      </c>
    </row>
    <row r="12" spans="2:3" x14ac:dyDescent="0.25">
      <c r="B12" s="21"/>
      <c r="C12" s="22"/>
    </row>
    <row r="13" spans="2:3" x14ac:dyDescent="0.25">
      <c r="B13" s="21"/>
      <c r="C13" s="22"/>
    </row>
    <row r="14" spans="2:3" x14ac:dyDescent="0.25">
      <c r="B14" s="23"/>
      <c r="C14" s="22"/>
    </row>
    <row r="15" spans="2:3" ht="15.75" thickBot="1" x14ac:dyDescent="0.3">
      <c r="B15" s="24" t="s">
        <v>18</v>
      </c>
      <c r="C15" s="25">
        <f>+C11+C10</f>
        <v>880306</v>
      </c>
    </row>
    <row r="16" spans="2:3" ht="15.75" thickTop="1" x14ac:dyDescent="0.25">
      <c r="B16" s="26"/>
      <c r="C16" s="27"/>
    </row>
    <row r="17" spans="2:3" x14ac:dyDescent="0.25">
      <c r="B17" s="28" t="s">
        <v>13</v>
      </c>
      <c r="C17" s="20"/>
    </row>
    <row r="18" spans="2:3" x14ac:dyDescent="0.25">
      <c r="B18" s="23"/>
      <c r="C18" s="22"/>
    </row>
    <row r="19" spans="2:3" x14ac:dyDescent="0.25">
      <c r="B19" s="11" t="s">
        <v>3</v>
      </c>
      <c r="C19" s="29">
        <f>+C11+C10</f>
        <v>880306</v>
      </c>
    </row>
    <row r="20" spans="2:3" ht="15.75" thickBot="1" x14ac:dyDescent="0.3">
      <c r="B20" s="30" t="s">
        <v>4</v>
      </c>
      <c r="C20" s="25">
        <f>+C19</f>
        <v>880306</v>
      </c>
    </row>
    <row r="21" spans="2:3" ht="15.75" thickTop="1" x14ac:dyDescent="0.25">
      <c r="B21" s="9"/>
      <c r="C21" s="31"/>
    </row>
    <row r="22" spans="2:3" x14ac:dyDescent="0.25">
      <c r="B22" s="32" t="s">
        <v>20</v>
      </c>
      <c r="C22" s="18">
        <f>880306*8%</f>
        <v>70424.479999999996</v>
      </c>
    </row>
    <row r="23" spans="2:3" x14ac:dyDescent="0.25">
      <c r="B23" s="33" t="s">
        <v>5</v>
      </c>
      <c r="C23" s="20">
        <v>0</v>
      </c>
    </row>
    <row r="24" spans="2:3" x14ac:dyDescent="0.25">
      <c r="B24" s="33" t="s">
        <v>6</v>
      </c>
      <c r="C24" s="20">
        <v>0</v>
      </c>
    </row>
    <row r="25" spans="2:3" x14ac:dyDescent="0.25">
      <c r="B25" s="26" t="s">
        <v>19</v>
      </c>
      <c r="C25" s="27">
        <v>222910</v>
      </c>
    </row>
    <row r="26" spans="2:3" x14ac:dyDescent="0.25">
      <c r="B26" s="34"/>
      <c r="C26" s="22"/>
    </row>
    <row r="27" spans="2:3" ht="15.75" thickBot="1" x14ac:dyDescent="0.3">
      <c r="B27" s="35" t="s">
        <v>7</v>
      </c>
      <c r="C27" s="25">
        <f>+C25+C22</f>
        <v>293334.48</v>
      </c>
    </row>
    <row r="28" spans="2:3" ht="15.75" thickTop="1" x14ac:dyDescent="0.25">
      <c r="B28" s="9"/>
      <c r="C28" s="31"/>
    </row>
    <row r="29" spans="2:3" ht="15.75" thickBot="1" x14ac:dyDescent="0.3">
      <c r="B29" s="30" t="s">
        <v>8</v>
      </c>
      <c r="C29" s="25">
        <f>+C15-C27</f>
        <v>586971.52</v>
      </c>
    </row>
    <row r="30" spans="2:3" ht="15.75" thickTop="1" x14ac:dyDescent="0.25">
      <c r="B30" s="17" t="s">
        <v>9</v>
      </c>
      <c r="C30" s="18">
        <v>105637</v>
      </c>
    </row>
    <row r="31" spans="2:3" x14ac:dyDescent="0.25">
      <c r="B31" s="36" t="s">
        <v>10</v>
      </c>
      <c r="C31" s="37">
        <v>26409</v>
      </c>
    </row>
    <row r="32" spans="2:3" x14ac:dyDescent="0.25">
      <c r="B32" s="9"/>
      <c r="C32" s="10"/>
    </row>
    <row r="33" spans="2:3" x14ac:dyDescent="0.25">
      <c r="B33" s="9"/>
      <c r="C33" s="10"/>
    </row>
    <row r="34" spans="2:3" x14ac:dyDescent="0.25">
      <c r="B34" s="9" t="s">
        <v>12</v>
      </c>
      <c r="C34" s="10"/>
    </row>
    <row r="35" spans="2:3" x14ac:dyDescent="0.25">
      <c r="B35" s="9" t="s">
        <v>11</v>
      </c>
      <c r="C35" s="10"/>
    </row>
    <row r="36" spans="2:3" x14ac:dyDescent="0.25">
      <c r="B36" s="9" t="s">
        <v>22</v>
      </c>
      <c r="C36" s="10"/>
    </row>
    <row r="37" spans="2:3" x14ac:dyDescent="0.25">
      <c r="B37" s="7" t="s">
        <v>23</v>
      </c>
      <c r="C37" s="8"/>
    </row>
    <row r="38" spans="2:3" ht="15.75" thickBot="1" x14ac:dyDescent="0.3">
      <c r="B38" s="38" t="s">
        <v>24</v>
      </c>
      <c r="C38" s="39"/>
    </row>
    <row r="40" spans="2:3" x14ac:dyDescent="0.25">
      <c r="B40" s="1"/>
      <c r="C40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1" spans="2:3" x14ac:dyDescent="0.25">
      <c r="B51" s="1"/>
      <c r="C51" s="42"/>
    </row>
    <row r="53" spans="2:3" x14ac:dyDescent="0.25">
      <c r="B53" s="1"/>
      <c r="C53" s="1"/>
    </row>
    <row r="54" spans="2:3" x14ac:dyDescent="0.25">
      <c r="B54" s="1"/>
      <c r="C54" s="1"/>
    </row>
    <row r="55" spans="2:3" ht="78.75" customHeight="1" x14ac:dyDescent="0.25">
      <c r="B55" s="1"/>
      <c r="C55" s="1"/>
    </row>
    <row r="56" spans="2:3" x14ac:dyDescent="0.25">
      <c r="C56" s="43"/>
    </row>
    <row r="57" spans="2:3" x14ac:dyDescent="0.25">
      <c r="C57" s="4"/>
    </row>
    <row r="58" spans="2:3" x14ac:dyDescent="0.25">
      <c r="B58" s="44"/>
      <c r="C58" s="4"/>
    </row>
    <row r="59" spans="2:3" x14ac:dyDescent="0.25">
      <c r="B59" s="44"/>
      <c r="C59" s="4"/>
    </row>
    <row r="60" spans="2:3" x14ac:dyDescent="0.25">
      <c r="B60" s="44"/>
      <c r="C60" s="4"/>
    </row>
    <row r="61" spans="2:3" x14ac:dyDescent="0.25">
      <c r="C61" s="4"/>
    </row>
    <row r="62" spans="2:3" x14ac:dyDescent="0.25">
      <c r="B62" s="1"/>
      <c r="C62" s="4"/>
    </row>
    <row r="63" spans="2:3" x14ac:dyDescent="0.25">
      <c r="C63" s="4"/>
    </row>
    <row r="64" spans="2:3" x14ac:dyDescent="0.25">
      <c r="C64" s="4"/>
    </row>
    <row r="65" spans="2:3" x14ac:dyDescent="0.25">
      <c r="C65" s="4"/>
    </row>
    <row r="66" spans="2:3" x14ac:dyDescent="0.25">
      <c r="B66" s="1"/>
      <c r="C66" s="4"/>
    </row>
    <row r="67" spans="2:3" x14ac:dyDescent="0.25">
      <c r="C67" s="4"/>
    </row>
    <row r="68" spans="2:3" x14ac:dyDescent="0.25">
      <c r="C68" s="4"/>
    </row>
    <row r="69" spans="2:3" x14ac:dyDescent="0.25">
      <c r="C69" s="4"/>
    </row>
    <row r="70" spans="2:3" x14ac:dyDescent="0.25">
      <c r="C70" s="4"/>
    </row>
    <row r="71" spans="2:3" x14ac:dyDescent="0.25">
      <c r="C71" s="4"/>
    </row>
    <row r="72" spans="2:3" x14ac:dyDescent="0.25">
      <c r="C72" s="4"/>
    </row>
    <row r="73" spans="2:3" x14ac:dyDescent="0.25">
      <c r="C73" s="4"/>
    </row>
    <row r="74" spans="2:3" x14ac:dyDescent="0.25">
      <c r="C74" s="4"/>
    </row>
    <row r="75" spans="2:3" x14ac:dyDescent="0.25">
      <c r="C75" s="4"/>
    </row>
    <row r="76" spans="2:3" x14ac:dyDescent="0.25">
      <c r="C76" s="4"/>
    </row>
    <row r="77" spans="2:3" x14ac:dyDescent="0.25">
      <c r="C77" s="4"/>
    </row>
    <row r="78" spans="2:3" x14ac:dyDescent="0.25">
      <c r="C78" s="4"/>
    </row>
    <row r="84" spans="2:3" x14ac:dyDescent="0.25">
      <c r="B84" s="1"/>
      <c r="C84" s="1"/>
    </row>
    <row r="85" spans="2:3" x14ac:dyDescent="0.25">
      <c r="B85" s="1"/>
      <c r="C85" s="1"/>
    </row>
    <row r="87" spans="2:3" x14ac:dyDescent="0.25">
      <c r="B87" s="1"/>
      <c r="C87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4" spans="2:3" x14ac:dyDescent="0.25">
      <c r="B94" s="1"/>
      <c r="C94" s="1"/>
    </row>
    <row r="96" spans="2:3" x14ac:dyDescent="0.25">
      <c r="B96" s="1"/>
      <c r="C96" s="1"/>
    </row>
    <row r="97" spans="2:3" x14ac:dyDescent="0.25">
      <c r="B97" s="1"/>
      <c r="C97" s="1"/>
    </row>
    <row r="99" spans="2:3" x14ac:dyDescent="0.25">
      <c r="B99" s="1"/>
      <c r="C99" s="42"/>
    </row>
    <row r="101" spans="2:3" x14ac:dyDescent="0.25">
      <c r="B101" s="1"/>
      <c r="C101" s="1"/>
    </row>
    <row r="102" spans="2:3" x14ac:dyDescent="0.25">
      <c r="B102" s="1"/>
      <c r="C102" s="1"/>
    </row>
    <row r="103" spans="2:3" ht="70.5" customHeight="1" x14ac:dyDescent="0.25">
      <c r="B103" s="1"/>
      <c r="C103" s="1"/>
    </row>
    <row r="104" spans="2:3" x14ac:dyDescent="0.25">
      <c r="C104" s="43"/>
    </row>
    <row r="105" spans="2:3" x14ac:dyDescent="0.25">
      <c r="C105" s="4"/>
    </row>
    <row r="106" spans="2:3" x14ac:dyDescent="0.25">
      <c r="B106" s="44"/>
      <c r="C106" s="4"/>
    </row>
    <row r="107" spans="2:3" x14ac:dyDescent="0.25">
      <c r="B107" s="44"/>
      <c r="C107" s="4"/>
    </row>
    <row r="108" spans="2:3" x14ac:dyDescent="0.25">
      <c r="B108" s="44"/>
      <c r="C108" s="4"/>
    </row>
    <row r="109" spans="2:3" x14ac:dyDescent="0.25">
      <c r="C109" s="4"/>
    </row>
    <row r="110" spans="2:3" x14ac:dyDescent="0.25">
      <c r="B110" s="1"/>
      <c r="C110" s="4"/>
    </row>
    <row r="111" spans="2:3" x14ac:dyDescent="0.25">
      <c r="C111" s="4"/>
    </row>
    <row r="112" spans="2:3" x14ac:dyDescent="0.25">
      <c r="C112" s="4"/>
    </row>
    <row r="113" spans="2:3" x14ac:dyDescent="0.25">
      <c r="C113" s="4"/>
    </row>
    <row r="114" spans="2:3" x14ac:dyDescent="0.25">
      <c r="B114" s="1"/>
      <c r="C114" s="4"/>
    </row>
    <row r="115" spans="2:3" x14ac:dyDescent="0.25">
      <c r="C115" s="4"/>
    </row>
    <row r="116" spans="2:3" x14ac:dyDescent="0.25">
      <c r="C116" s="4"/>
    </row>
    <row r="117" spans="2:3" x14ac:dyDescent="0.25">
      <c r="C117" s="4"/>
    </row>
    <row r="118" spans="2:3" x14ac:dyDescent="0.25">
      <c r="C118" s="4"/>
    </row>
    <row r="119" spans="2:3" x14ac:dyDescent="0.25">
      <c r="C119" s="4"/>
    </row>
    <row r="120" spans="2:3" x14ac:dyDescent="0.25">
      <c r="C120" s="4"/>
    </row>
    <row r="121" spans="2:3" x14ac:dyDescent="0.25">
      <c r="C121" s="4"/>
    </row>
    <row r="122" spans="2:3" x14ac:dyDescent="0.25">
      <c r="C122" s="4"/>
    </row>
    <row r="123" spans="2:3" x14ac:dyDescent="0.25">
      <c r="C123" s="4"/>
    </row>
    <row r="124" spans="2:3" x14ac:dyDescent="0.25">
      <c r="C124" s="4"/>
    </row>
    <row r="125" spans="2:3" x14ac:dyDescent="0.25">
      <c r="C125" s="4"/>
    </row>
    <row r="126" spans="2:3" x14ac:dyDescent="0.25">
      <c r="C126" s="4"/>
    </row>
    <row r="132" spans="2:3" x14ac:dyDescent="0.25">
      <c r="B132" s="1"/>
      <c r="C132" s="1"/>
    </row>
    <row r="133" spans="2:3" x14ac:dyDescent="0.25">
      <c r="B133" s="1"/>
      <c r="C133" s="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6304-8BBD-452C-9BE9-406A24FBB172}">
  <dimension ref="B1:C163"/>
  <sheetViews>
    <sheetView workbookViewId="0">
      <selection sqref="A1:C67"/>
    </sheetView>
  </sheetViews>
  <sheetFormatPr defaultRowHeight="15" x14ac:dyDescent="0.25"/>
  <cols>
    <col min="2" max="2" width="23" customWidth="1"/>
    <col min="3" max="3" width="25.140625" customWidth="1"/>
  </cols>
  <sheetData>
    <row r="1" spans="2:3" x14ac:dyDescent="0.25">
      <c r="B1" s="5" t="s">
        <v>14</v>
      </c>
      <c r="C1" s="6"/>
    </row>
    <row r="2" spans="2:3" x14ac:dyDescent="0.25">
      <c r="B2" s="7" t="s">
        <v>15</v>
      </c>
      <c r="C2" s="8"/>
    </row>
    <row r="3" spans="2:3" x14ac:dyDescent="0.25">
      <c r="B3" s="9" t="s">
        <v>16</v>
      </c>
      <c r="C3" s="10"/>
    </row>
    <row r="4" spans="2:3" x14ac:dyDescent="0.25">
      <c r="B4" s="11" t="s">
        <v>1</v>
      </c>
      <c r="C4" s="40">
        <v>46174</v>
      </c>
    </row>
    <row r="5" spans="2:3" x14ac:dyDescent="0.25">
      <c r="B5" s="12"/>
      <c r="C5" s="13"/>
    </row>
    <row r="6" spans="2:3" x14ac:dyDescent="0.25">
      <c r="B6" s="7" t="s">
        <v>0</v>
      </c>
      <c r="C6" s="14"/>
    </row>
    <row r="7" spans="2:3" x14ac:dyDescent="0.25">
      <c r="B7" s="7"/>
      <c r="C7" s="14"/>
    </row>
    <row r="8" spans="2:3" ht="48.75" customHeight="1" x14ac:dyDescent="0.25">
      <c r="B8" s="15"/>
      <c r="C8" s="16"/>
    </row>
    <row r="9" spans="2:3" x14ac:dyDescent="0.25">
      <c r="B9" s="9"/>
      <c r="C9" s="41" t="s">
        <v>17</v>
      </c>
    </row>
    <row r="10" spans="2:3" x14ac:dyDescent="0.25">
      <c r="B10" s="17" t="s">
        <v>25</v>
      </c>
      <c r="C10" s="18">
        <f>1939*438</f>
        <v>849282</v>
      </c>
    </row>
    <row r="11" spans="2:3" x14ac:dyDescent="0.25">
      <c r="B11" s="19" t="s">
        <v>2</v>
      </c>
      <c r="C11" s="20">
        <v>0</v>
      </c>
    </row>
    <row r="12" spans="2:3" x14ac:dyDescent="0.25">
      <c r="B12" s="21"/>
      <c r="C12" s="22"/>
    </row>
    <row r="13" spans="2:3" x14ac:dyDescent="0.25">
      <c r="B13" s="21"/>
      <c r="C13" s="22"/>
    </row>
    <row r="14" spans="2:3" x14ac:dyDescent="0.25">
      <c r="B14" s="23"/>
      <c r="C14" s="22"/>
    </row>
    <row r="15" spans="2:3" ht="15.75" thickBot="1" x14ac:dyDescent="0.3">
      <c r="B15" s="24" t="s">
        <v>18</v>
      </c>
      <c r="C15" s="25">
        <f>+C11+C10</f>
        <v>849282</v>
      </c>
    </row>
    <row r="16" spans="2:3" ht="15.75" thickTop="1" x14ac:dyDescent="0.25">
      <c r="B16" s="26"/>
      <c r="C16" s="27"/>
    </row>
    <row r="17" spans="2:3" x14ac:dyDescent="0.25">
      <c r="B17" s="28" t="s">
        <v>13</v>
      </c>
      <c r="C17" s="20"/>
    </row>
    <row r="18" spans="2:3" x14ac:dyDescent="0.25">
      <c r="B18" s="23"/>
      <c r="C18" s="22"/>
    </row>
    <row r="19" spans="2:3" x14ac:dyDescent="0.25">
      <c r="B19" s="11" t="s">
        <v>3</v>
      </c>
      <c r="C19" s="29">
        <f>+C11+C10</f>
        <v>849282</v>
      </c>
    </row>
    <row r="20" spans="2:3" ht="15.75" thickBot="1" x14ac:dyDescent="0.3">
      <c r="B20" s="30" t="s">
        <v>4</v>
      </c>
      <c r="C20" s="25">
        <f>+C19</f>
        <v>849282</v>
      </c>
    </row>
    <row r="21" spans="2:3" ht="15.75" thickTop="1" x14ac:dyDescent="0.25">
      <c r="B21" s="9"/>
      <c r="C21" s="31"/>
    </row>
    <row r="22" spans="2:3" x14ac:dyDescent="0.25">
      <c r="B22" s="32" t="s">
        <v>20</v>
      </c>
      <c r="C22" s="18">
        <f>+C19*8%</f>
        <v>67942.559999999998</v>
      </c>
    </row>
    <row r="23" spans="2:3" x14ac:dyDescent="0.25">
      <c r="B23" s="33" t="s">
        <v>5</v>
      </c>
      <c r="C23" s="20">
        <v>0</v>
      </c>
    </row>
    <row r="24" spans="2:3" x14ac:dyDescent="0.25">
      <c r="B24" s="33" t="s">
        <v>6</v>
      </c>
      <c r="C24" s="20">
        <v>0</v>
      </c>
    </row>
    <row r="25" spans="2:3" x14ac:dyDescent="0.25">
      <c r="B25" s="26" t="s">
        <v>19</v>
      </c>
      <c r="C25" s="27">
        <v>211742</v>
      </c>
    </row>
    <row r="26" spans="2:3" x14ac:dyDescent="0.25">
      <c r="B26" s="34"/>
      <c r="C26" s="22"/>
    </row>
    <row r="27" spans="2:3" ht="15.75" thickBot="1" x14ac:dyDescent="0.3">
      <c r="B27" s="35" t="s">
        <v>7</v>
      </c>
      <c r="C27" s="25">
        <f>+C25+C22</f>
        <v>279684.56</v>
      </c>
    </row>
    <row r="28" spans="2:3" ht="15.75" thickTop="1" x14ac:dyDescent="0.25">
      <c r="B28" s="9"/>
      <c r="C28" s="31"/>
    </row>
    <row r="29" spans="2:3" ht="15.75" thickBot="1" x14ac:dyDescent="0.3">
      <c r="B29" s="30" t="s">
        <v>8</v>
      </c>
      <c r="C29" s="25">
        <f>+C15-C27</f>
        <v>569597.43999999994</v>
      </c>
    </row>
    <row r="30" spans="2:3" ht="15.75" thickTop="1" x14ac:dyDescent="0.25">
      <c r="B30" s="17" t="s">
        <v>9</v>
      </c>
      <c r="C30" s="18">
        <f>849282*12%</f>
        <v>101913.84</v>
      </c>
    </row>
    <row r="31" spans="2:3" x14ac:dyDescent="0.25">
      <c r="B31" s="36" t="s">
        <v>10</v>
      </c>
      <c r="C31" s="37">
        <f>849282*3%</f>
        <v>25478.46</v>
      </c>
    </row>
    <row r="32" spans="2:3" x14ac:dyDescent="0.25">
      <c r="B32" s="9"/>
      <c r="C32" s="10"/>
    </row>
    <row r="33" spans="2:3" x14ac:dyDescent="0.25">
      <c r="B33" s="9"/>
      <c r="C33" s="10"/>
    </row>
    <row r="34" spans="2:3" x14ac:dyDescent="0.25">
      <c r="B34" s="9" t="s">
        <v>12</v>
      </c>
      <c r="C34" s="10"/>
    </row>
    <row r="35" spans="2:3" x14ac:dyDescent="0.25">
      <c r="B35" s="9" t="s">
        <v>11</v>
      </c>
      <c r="C35" s="10"/>
    </row>
    <row r="36" spans="2:3" x14ac:dyDescent="0.25">
      <c r="B36" s="9" t="s">
        <v>22</v>
      </c>
      <c r="C36" s="10"/>
    </row>
    <row r="37" spans="2:3" x14ac:dyDescent="0.25">
      <c r="B37" s="7" t="s">
        <v>23</v>
      </c>
      <c r="C37" s="8"/>
    </row>
    <row r="38" spans="2:3" ht="15.75" thickBot="1" x14ac:dyDescent="0.3">
      <c r="B38" s="38" t="s">
        <v>24</v>
      </c>
      <c r="C38" s="39"/>
    </row>
    <row r="39" spans="2:3" x14ac:dyDescent="0.25">
      <c r="B39" s="2"/>
      <c r="C39" s="2"/>
    </row>
    <row r="40" spans="2:3" x14ac:dyDescent="0.25">
      <c r="B40" s="1"/>
      <c r="C40" s="1"/>
    </row>
    <row r="41" spans="2:3" x14ac:dyDescent="0.25">
      <c r="B41" s="2"/>
      <c r="C41" s="2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2"/>
      <c r="C50" s="2"/>
    </row>
    <row r="51" spans="2:3" x14ac:dyDescent="0.25">
      <c r="B51" s="1"/>
      <c r="C51" s="42"/>
    </row>
    <row r="52" spans="2:3" x14ac:dyDescent="0.25">
      <c r="B52" s="2"/>
      <c r="C52" s="2"/>
    </row>
    <row r="53" spans="2:3" x14ac:dyDescent="0.25">
      <c r="B53" s="1"/>
      <c r="C53" s="1"/>
    </row>
    <row r="54" spans="2:3" x14ac:dyDescent="0.25">
      <c r="B54" s="1"/>
      <c r="C54" s="1"/>
    </row>
    <row r="55" spans="2:3" ht="69.75" customHeight="1" x14ac:dyDescent="0.25">
      <c r="B55" s="1"/>
      <c r="C55" s="1"/>
    </row>
    <row r="56" spans="2:3" x14ac:dyDescent="0.25">
      <c r="B56" s="2"/>
      <c r="C56" s="43"/>
    </row>
    <row r="57" spans="2:3" x14ac:dyDescent="0.25">
      <c r="B57" s="2"/>
      <c r="C57" s="4"/>
    </row>
    <row r="58" spans="2:3" x14ac:dyDescent="0.25">
      <c r="B58" s="44"/>
      <c r="C58" s="4"/>
    </row>
    <row r="59" spans="2:3" x14ac:dyDescent="0.25">
      <c r="B59" s="44"/>
      <c r="C59" s="4"/>
    </row>
    <row r="60" spans="2:3" x14ac:dyDescent="0.25">
      <c r="B60" s="44"/>
      <c r="C60" s="4"/>
    </row>
    <row r="61" spans="2:3" x14ac:dyDescent="0.25">
      <c r="B61" s="2"/>
      <c r="C61" s="4"/>
    </row>
    <row r="62" spans="2:3" x14ac:dyDescent="0.25">
      <c r="B62" s="1"/>
      <c r="C62" s="4"/>
    </row>
    <row r="63" spans="2:3" x14ac:dyDescent="0.25">
      <c r="B63" s="2"/>
      <c r="C63" s="4"/>
    </row>
    <row r="64" spans="2:3" x14ac:dyDescent="0.25">
      <c r="B64" s="2"/>
      <c r="C64" s="4"/>
    </row>
    <row r="65" spans="2:3" x14ac:dyDescent="0.25">
      <c r="B65" s="2"/>
      <c r="C65" s="4"/>
    </row>
    <row r="66" spans="2:3" x14ac:dyDescent="0.25">
      <c r="B66" s="1"/>
      <c r="C66" s="4"/>
    </row>
    <row r="67" spans="2:3" x14ac:dyDescent="0.25">
      <c r="B67" s="2"/>
      <c r="C67" s="4"/>
    </row>
    <row r="68" spans="2:3" x14ac:dyDescent="0.25">
      <c r="B68" s="2"/>
      <c r="C68" s="4"/>
    </row>
    <row r="69" spans="2:3" x14ac:dyDescent="0.25">
      <c r="B69" s="2"/>
      <c r="C69" s="4"/>
    </row>
    <row r="70" spans="2:3" x14ac:dyDescent="0.25">
      <c r="B70" s="2"/>
      <c r="C70" s="4"/>
    </row>
    <row r="71" spans="2:3" x14ac:dyDescent="0.25">
      <c r="B71" s="2"/>
      <c r="C71" s="4"/>
    </row>
    <row r="72" spans="2:3" x14ac:dyDescent="0.25">
      <c r="B72" s="2"/>
      <c r="C72" s="4"/>
    </row>
    <row r="73" spans="2:3" x14ac:dyDescent="0.25">
      <c r="B73" s="2"/>
      <c r="C73" s="4"/>
    </row>
    <row r="74" spans="2:3" x14ac:dyDescent="0.25">
      <c r="B74" s="2"/>
      <c r="C74" s="4"/>
    </row>
    <row r="75" spans="2:3" x14ac:dyDescent="0.25">
      <c r="B75" s="2"/>
      <c r="C75" s="4"/>
    </row>
    <row r="76" spans="2:3" x14ac:dyDescent="0.25">
      <c r="B76" s="2"/>
      <c r="C76" s="4"/>
    </row>
    <row r="77" spans="2:3" x14ac:dyDescent="0.25">
      <c r="B77" s="2"/>
      <c r="C77" s="4"/>
    </row>
    <row r="78" spans="2:3" x14ac:dyDescent="0.25">
      <c r="B78" s="2"/>
      <c r="C78" s="4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2"/>
      <c r="C86" s="2"/>
    </row>
    <row r="87" spans="2:3" x14ac:dyDescent="0.25">
      <c r="B87" s="1"/>
      <c r="C87" s="1"/>
    </row>
    <row r="88" spans="2:3" x14ac:dyDescent="0.25">
      <c r="B88" s="2"/>
      <c r="C88" s="2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2"/>
      <c r="C93" s="2"/>
    </row>
    <row r="94" spans="2:3" x14ac:dyDescent="0.25">
      <c r="B94" s="1"/>
      <c r="C94" s="1"/>
    </row>
    <row r="95" spans="2:3" x14ac:dyDescent="0.25">
      <c r="B95" s="2"/>
      <c r="C95" s="2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2"/>
      <c r="C98" s="2"/>
    </row>
    <row r="99" spans="2:3" x14ac:dyDescent="0.25">
      <c r="B99" s="1"/>
      <c r="C99" s="42"/>
    </row>
    <row r="100" spans="2:3" x14ac:dyDescent="0.25">
      <c r="B100" s="2"/>
      <c r="C100" s="2"/>
    </row>
    <row r="101" spans="2:3" x14ac:dyDescent="0.25">
      <c r="B101" s="1"/>
      <c r="C101" s="1"/>
    </row>
    <row r="102" spans="2:3" x14ac:dyDescent="0.25">
      <c r="B102" s="1"/>
      <c r="C102" s="1"/>
    </row>
    <row r="103" spans="2:3" ht="48" customHeight="1" x14ac:dyDescent="0.25">
      <c r="B103" s="1"/>
      <c r="C103" s="1"/>
    </row>
    <row r="104" spans="2:3" x14ac:dyDescent="0.25">
      <c r="B104" s="2"/>
      <c r="C104" s="43"/>
    </row>
    <row r="105" spans="2:3" x14ac:dyDescent="0.25">
      <c r="B105" s="2"/>
      <c r="C105" s="4"/>
    </row>
    <row r="106" spans="2:3" x14ac:dyDescent="0.25">
      <c r="B106" s="44"/>
      <c r="C106" s="4"/>
    </row>
    <row r="107" spans="2:3" x14ac:dyDescent="0.25">
      <c r="B107" s="44"/>
      <c r="C107" s="4"/>
    </row>
    <row r="108" spans="2:3" x14ac:dyDescent="0.25">
      <c r="B108" s="44"/>
      <c r="C108" s="4"/>
    </row>
    <row r="109" spans="2:3" x14ac:dyDescent="0.25">
      <c r="B109" s="2"/>
      <c r="C109" s="4"/>
    </row>
    <row r="110" spans="2:3" x14ac:dyDescent="0.25">
      <c r="B110" s="1"/>
      <c r="C110" s="4"/>
    </row>
    <row r="111" spans="2:3" x14ac:dyDescent="0.25">
      <c r="B111" s="2"/>
      <c r="C111" s="4"/>
    </row>
    <row r="112" spans="2:3" x14ac:dyDescent="0.25">
      <c r="B112" s="2"/>
      <c r="C112" s="4"/>
    </row>
    <row r="113" spans="2:3" x14ac:dyDescent="0.25">
      <c r="B113" s="2"/>
      <c r="C113" s="4"/>
    </row>
    <row r="114" spans="2:3" x14ac:dyDescent="0.25">
      <c r="B114" s="1"/>
      <c r="C114" s="4"/>
    </row>
    <row r="115" spans="2:3" x14ac:dyDescent="0.25">
      <c r="B115" s="2"/>
      <c r="C115" s="4"/>
    </row>
    <row r="116" spans="2:3" x14ac:dyDescent="0.25">
      <c r="B116" s="2"/>
      <c r="C116" s="4"/>
    </row>
    <row r="117" spans="2:3" x14ac:dyDescent="0.25">
      <c r="B117" s="2"/>
      <c r="C117" s="4"/>
    </row>
    <row r="118" spans="2:3" x14ac:dyDescent="0.25">
      <c r="B118" s="2"/>
      <c r="C118" s="4"/>
    </row>
    <row r="119" spans="2:3" x14ac:dyDescent="0.25">
      <c r="B119" s="2"/>
      <c r="C119" s="4"/>
    </row>
    <row r="120" spans="2:3" x14ac:dyDescent="0.25">
      <c r="B120" s="2"/>
      <c r="C120" s="4"/>
    </row>
    <row r="121" spans="2:3" x14ac:dyDescent="0.25">
      <c r="B121" s="2"/>
      <c r="C121" s="4"/>
    </row>
    <row r="122" spans="2:3" x14ac:dyDescent="0.25">
      <c r="B122" s="2"/>
      <c r="C122" s="4"/>
    </row>
    <row r="123" spans="2:3" x14ac:dyDescent="0.25">
      <c r="B123" s="2"/>
      <c r="C123" s="4"/>
    </row>
    <row r="124" spans="2:3" x14ac:dyDescent="0.25">
      <c r="B124" s="2"/>
      <c r="C124" s="4"/>
    </row>
    <row r="125" spans="2:3" x14ac:dyDescent="0.25">
      <c r="B125" s="2"/>
      <c r="C125" s="4"/>
    </row>
    <row r="126" spans="2:3" x14ac:dyDescent="0.25">
      <c r="B126" s="2"/>
      <c r="C126" s="4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4B1E-95E8-4679-98B8-430287EA7D16}">
  <dimension ref="B1:C67"/>
  <sheetViews>
    <sheetView workbookViewId="0">
      <selection activeCell="B1" sqref="B1:C39"/>
    </sheetView>
  </sheetViews>
  <sheetFormatPr defaultRowHeight="15" x14ac:dyDescent="0.25"/>
  <cols>
    <col min="2" max="2" width="24.140625" customWidth="1"/>
    <col min="3" max="3" width="29.140625" customWidth="1"/>
  </cols>
  <sheetData>
    <row r="1" spans="2:3" x14ac:dyDescent="0.25">
      <c r="B1" s="5" t="s">
        <v>14</v>
      </c>
      <c r="C1" s="6"/>
    </row>
    <row r="2" spans="2:3" x14ac:dyDescent="0.25">
      <c r="B2" s="7" t="s">
        <v>15</v>
      </c>
      <c r="C2" s="8"/>
    </row>
    <row r="3" spans="2:3" x14ac:dyDescent="0.25">
      <c r="B3" s="9" t="s">
        <v>16</v>
      </c>
      <c r="C3" s="10"/>
    </row>
    <row r="4" spans="2:3" x14ac:dyDescent="0.25">
      <c r="B4" s="11" t="s">
        <v>1</v>
      </c>
      <c r="C4" s="40">
        <v>46204</v>
      </c>
    </row>
    <row r="5" spans="2:3" x14ac:dyDescent="0.25">
      <c r="B5" s="12"/>
      <c r="C5" s="13"/>
    </row>
    <row r="6" spans="2:3" x14ac:dyDescent="0.25">
      <c r="B6" s="7" t="s">
        <v>0</v>
      </c>
      <c r="C6" s="14"/>
    </row>
    <row r="7" spans="2:3" x14ac:dyDescent="0.25">
      <c r="B7" s="7"/>
      <c r="C7" s="14"/>
    </row>
    <row r="8" spans="2:3" ht="58.5" customHeight="1" x14ac:dyDescent="0.25">
      <c r="B8" s="15"/>
      <c r="C8" s="16"/>
    </row>
    <row r="9" spans="2:3" x14ac:dyDescent="0.25">
      <c r="B9" s="9"/>
      <c r="C9" s="41" t="s">
        <v>17</v>
      </c>
    </row>
    <row r="10" spans="2:3" x14ac:dyDescent="0.25">
      <c r="B10" s="17" t="s">
        <v>25</v>
      </c>
      <c r="C10" s="18">
        <v>860683</v>
      </c>
    </row>
    <row r="11" spans="2:3" x14ac:dyDescent="0.25">
      <c r="B11" s="19" t="s">
        <v>2</v>
      </c>
      <c r="C11" s="20">
        <v>0</v>
      </c>
    </row>
    <row r="12" spans="2:3" x14ac:dyDescent="0.25">
      <c r="B12" s="21"/>
      <c r="C12" s="22"/>
    </row>
    <row r="13" spans="2:3" x14ac:dyDescent="0.25">
      <c r="B13" s="21"/>
      <c r="C13" s="22"/>
    </row>
    <row r="14" spans="2:3" x14ac:dyDescent="0.25">
      <c r="B14" s="23"/>
      <c r="C14" s="22"/>
    </row>
    <row r="15" spans="2:3" ht="15.75" thickBot="1" x14ac:dyDescent="0.3">
      <c r="B15" s="24" t="s">
        <v>18</v>
      </c>
      <c r="C15" s="25">
        <f>+C11+C10</f>
        <v>860683</v>
      </c>
    </row>
    <row r="16" spans="2:3" ht="15.75" thickTop="1" x14ac:dyDescent="0.25">
      <c r="B16" s="26"/>
      <c r="C16" s="27"/>
    </row>
    <row r="17" spans="2:3" x14ac:dyDescent="0.25">
      <c r="B17" s="28" t="s">
        <v>13</v>
      </c>
      <c r="C17" s="20"/>
    </row>
    <row r="18" spans="2:3" x14ac:dyDescent="0.25">
      <c r="B18" s="23"/>
      <c r="C18" s="22"/>
    </row>
    <row r="19" spans="2:3" x14ac:dyDescent="0.25">
      <c r="B19" s="11" t="s">
        <v>3</v>
      </c>
      <c r="C19" s="29">
        <f>+C11+C10</f>
        <v>860683</v>
      </c>
    </row>
    <row r="20" spans="2:3" ht="15.75" thickBot="1" x14ac:dyDescent="0.3">
      <c r="B20" s="30" t="s">
        <v>4</v>
      </c>
      <c r="C20" s="25">
        <f>+C19</f>
        <v>860683</v>
      </c>
    </row>
    <row r="21" spans="2:3" ht="15.75" thickTop="1" x14ac:dyDescent="0.25">
      <c r="B21" s="9"/>
      <c r="C21" s="31"/>
    </row>
    <row r="22" spans="2:3" x14ac:dyDescent="0.25">
      <c r="B22" s="32" t="s">
        <v>20</v>
      </c>
      <c r="C22" s="18">
        <v>68873</v>
      </c>
    </row>
    <row r="23" spans="2:3" x14ac:dyDescent="0.25">
      <c r="B23" s="33" t="s">
        <v>5</v>
      </c>
      <c r="C23" s="20">
        <v>0</v>
      </c>
    </row>
    <row r="24" spans="2:3" x14ac:dyDescent="0.25">
      <c r="B24" s="33" t="s">
        <v>6</v>
      </c>
      <c r="C24" s="20">
        <v>0</v>
      </c>
    </row>
    <row r="25" spans="2:3" x14ac:dyDescent="0.25">
      <c r="B25" s="26" t="s">
        <v>19</v>
      </c>
      <c r="C25" s="27">
        <v>202667</v>
      </c>
    </row>
    <row r="26" spans="2:3" x14ac:dyDescent="0.25">
      <c r="B26" s="34"/>
      <c r="C26" s="22"/>
    </row>
    <row r="27" spans="2:3" ht="15.75" thickBot="1" x14ac:dyDescent="0.3">
      <c r="B27" s="35" t="s">
        <v>7</v>
      </c>
      <c r="C27" s="25">
        <f>+C25+C22</f>
        <v>271540</v>
      </c>
    </row>
    <row r="28" spans="2:3" ht="15.75" thickTop="1" x14ac:dyDescent="0.25">
      <c r="B28" s="9"/>
      <c r="C28" s="31"/>
    </row>
    <row r="29" spans="2:3" ht="15.75" thickBot="1" x14ac:dyDescent="0.3">
      <c r="B29" s="30" t="s">
        <v>8</v>
      </c>
      <c r="C29" s="25">
        <f>+C15-C27</f>
        <v>589143</v>
      </c>
    </row>
    <row r="30" spans="2:3" ht="15.75" thickTop="1" x14ac:dyDescent="0.25">
      <c r="B30" s="17" t="s">
        <v>9</v>
      </c>
      <c r="C30" s="18">
        <v>103282</v>
      </c>
    </row>
    <row r="31" spans="2:3" ht="15.75" thickBot="1" x14ac:dyDescent="0.3">
      <c r="B31" s="9" t="s">
        <v>10</v>
      </c>
      <c r="C31" s="45">
        <v>25820</v>
      </c>
    </row>
    <row r="32" spans="2:3" x14ac:dyDescent="0.25">
      <c r="B32" s="46"/>
      <c r="C32" s="47"/>
    </row>
    <row r="33" spans="2:3" x14ac:dyDescent="0.25">
      <c r="B33" s="9"/>
      <c r="C33" s="10"/>
    </row>
    <row r="34" spans="2:3" x14ac:dyDescent="0.25">
      <c r="B34" s="9" t="s">
        <v>12</v>
      </c>
      <c r="C34" s="10"/>
    </row>
    <row r="35" spans="2:3" x14ac:dyDescent="0.25">
      <c r="B35" s="9" t="s">
        <v>11</v>
      </c>
      <c r="C35" s="10"/>
    </row>
    <row r="36" spans="2:3" x14ac:dyDescent="0.25">
      <c r="B36" s="9" t="s">
        <v>22</v>
      </c>
      <c r="C36" s="10"/>
    </row>
    <row r="37" spans="2:3" x14ac:dyDescent="0.25">
      <c r="B37" s="7" t="s">
        <v>23</v>
      </c>
      <c r="C37" s="8"/>
    </row>
    <row r="38" spans="2:3" ht="15.75" thickBot="1" x14ac:dyDescent="0.3">
      <c r="B38" s="38" t="s">
        <v>24</v>
      </c>
      <c r="C38" s="39"/>
    </row>
    <row r="39" spans="2:3" x14ac:dyDescent="0.25">
      <c r="B39" s="2"/>
      <c r="C39" s="2"/>
    </row>
    <row r="40" spans="2:3" x14ac:dyDescent="0.25">
      <c r="B40" s="1"/>
      <c r="C40" s="1"/>
    </row>
    <row r="41" spans="2:3" x14ac:dyDescent="0.25">
      <c r="B41" s="2"/>
      <c r="C41" s="2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2"/>
      <c r="C50" s="2"/>
    </row>
    <row r="51" spans="2:3" x14ac:dyDescent="0.25">
      <c r="B51" s="1"/>
      <c r="C51" s="42"/>
    </row>
    <row r="52" spans="2:3" x14ac:dyDescent="0.25">
      <c r="B52" s="2"/>
      <c r="C52" s="2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2"/>
      <c r="C56" s="43"/>
    </row>
    <row r="57" spans="2:3" x14ac:dyDescent="0.25">
      <c r="B57" s="2"/>
      <c r="C57" s="4"/>
    </row>
    <row r="58" spans="2:3" x14ac:dyDescent="0.25">
      <c r="B58" s="44"/>
      <c r="C58" s="4"/>
    </row>
    <row r="59" spans="2:3" x14ac:dyDescent="0.25">
      <c r="B59" s="44"/>
      <c r="C59" s="4"/>
    </row>
    <row r="60" spans="2:3" x14ac:dyDescent="0.25">
      <c r="B60" s="44"/>
      <c r="C60" s="4"/>
    </row>
    <row r="61" spans="2:3" x14ac:dyDescent="0.25">
      <c r="B61" s="2"/>
      <c r="C61" s="4"/>
    </row>
    <row r="62" spans="2:3" x14ac:dyDescent="0.25">
      <c r="B62" s="1"/>
      <c r="C62" s="4"/>
    </row>
    <row r="63" spans="2:3" x14ac:dyDescent="0.25">
      <c r="B63" s="2"/>
      <c r="C63" s="4"/>
    </row>
    <row r="64" spans="2:3" x14ac:dyDescent="0.25">
      <c r="B64" s="2"/>
      <c r="C64" s="4"/>
    </row>
    <row r="65" spans="2:3" x14ac:dyDescent="0.25">
      <c r="B65" s="2"/>
      <c r="C65" s="4"/>
    </row>
    <row r="66" spans="2:3" x14ac:dyDescent="0.25">
      <c r="B66" s="1"/>
      <c r="C66" s="4"/>
    </row>
    <row r="67" spans="2:3" x14ac:dyDescent="0.25">
      <c r="B67" s="2"/>
      <c r="C67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5CDB-09B8-4225-8215-AF64F55A79A0}">
  <dimension ref="B1:C40"/>
  <sheetViews>
    <sheetView tabSelected="1" workbookViewId="0">
      <selection sqref="A1:D40"/>
    </sheetView>
  </sheetViews>
  <sheetFormatPr defaultRowHeight="15" x14ac:dyDescent="0.25"/>
  <cols>
    <col min="2" max="2" width="19.5703125" customWidth="1"/>
    <col min="3" max="3" width="25.85546875" customWidth="1"/>
  </cols>
  <sheetData>
    <row r="1" spans="2:3" ht="15.75" thickBot="1" x14ac:dyDescent="0.3"/>
    <row r="2" spans="2:3" x14ac:dyDescent="0.25">
      <c r="B2" s="5" t="s">
        <v>14</v>
      </c>
      <c r="C2" s="6"/>
    </row>
    <row r="3" spans="2:3" x14ac:dyDescent="0.25">
      <c r="B3" s="7" t="s">
        <v>15</v>
      </c>
      <c r="C3" s="8"/>
    </row>
    <row r="4" spans="2:3" x14ac:dyDescent="0.25">
      <c r="B4" s="9" t="s">
        <v>16</v>
      </c>
      <c r="C4" s="10"/>
    </row>
    <row r="5" spans="2:3" x14ac:dyDescent="0.25">
      <c r="B5" s="11" t="s">
        <v>1</v>
      </c>
      <c r="C5" s="40">
        <v>46235</v>
      </c>
    </row>
    <row r="6" spans="2:3" x14ac:dyDescent="0.25">
      <c r="B6" s="12"/>
      <c r="C6" s="13"/>
    </row>
    <row r="7" spans="2:3" x14ac:dyDescent="0.25">
      <c r="B7" s="7" t="s">
        <v>0</v>
      </c>
      <c r="C7" s="14"/>
    </row>
    <row r="8" spans="2:3" x14ac:dyDescent="0.25">
      <c r="B8" s="7"/>
      <c r="C8" s="14"/>
    </row>
    <row r="9" spans="2:3" ht="75.75" customHeight="1" x14ac:dyDescent="0.25">
      <c r="B9" s="15"/>
      <c r="C9" s="16"/>
    </row>
    <row r="10" spans="2:3" x14ac:dyDescent="0.25">
      <c r="B10" s="9"/>
      <c r="C10" s="41" t="s">
        <v>17</v>
      </c>
    </row>
    <row r="11" spans="2:3" x14ac:dyDescent="0.25">
      <c r="B11" s="17" t="s">
        <v>25</v>
      </c>
      <c r="C11" s="18">
        <v>853160</v>
      </c>
    </row>
    <row r="12" spans="2:3" x14ac:dyDescent="0.25">
      <c r="B12" s="19" t="s">
        <v>2</v>
      </c>
      <c r="C12" s="20">
        <v>0</v>
      </c>
    </row>
    <row r="13" spans="2:3" x14ac:dyDescent="0.25">
      <c r="B13" s="48" t="s">
        <v>26</v>
      </c>
      <c r="C13" s="22"/>
    </row>
    <row r="14" spans="2:3" x14ac:dyDescent="0.25">
      <c r="B14" s="21"/>
      <c r="C14" s="22"/>
    </row>
    <row r="15" spans="2:3" x14ac:dyDescent="0.25">
      <c r="B15" s="23"/>
      <c r="C15" s="22"/>
    </row>
    <row r="16" spans="2:3" ht="15.75" thickBot="1" x14ac:dyDescent="0.3">
      <c r="B16" s="24" t="s">
        <v>18</v>
      </c>
      <c r="C16" s="25">
        <f>+C12+C11</f>
        <v>853160</v>
      </c>
    </row>
    <row r="17" spans="2:3" ht="15.75" thickTop="1" x14ac:dyDescent="0.25">
      <c r="B17" s="26"/>
      <c r="C17" s="27"/>
    </row>
    <row r="18" spans="2:3" x14ac:dyDescent="0.25">
      <c r="B18" s="28" t="s">
        <v>13</v>
      </c>
      <c r="C18" s="20"/>
    </row>
    <row r="19" spans="2:3" x14ac:dyDescent="0.25">
      <c r="B19" s="23"/>
      <c r="C19" s="22"/>
    </row>
    <row r="20" spans="2:3" x14ac:dyDescent="0.25">
      <c r="B20" s="11" t="s">
        <v>3</v>
      </c>
      <c r="C20" s="29">
        <f>+C12+C11</f>
        <v>853160</v>
      </c>
    </row>
    <row r="21" spans="2:3" ht="15.75" thickBot="1" x14ac:dyDescent="0.3">
      <c r="B21" s="30" t="s">
        <v>4</v>
      </c>
      <c r="C21" s="25">
        <f>+C20</f>
        <v>853160</v>
      </c>
    </row>
    <row r="22" spans="2:3" ht="15.75" thickTop="1" x14ac:dyDescent="0.25">
      <c r="B22" s="9"/>
      <c r="C22" s="31"/>
    </row>
    <row r="23" spans="2:3" x14ac:dyDescent="0.25">
      <c r="B23" s="32" t="s">
        <v>20</v>
      </c>
      <c r="C23" s="18">
        <v>68253</v>
      </c>
    </row>
    <row r="24" spans="2:3" x14ac:dyDescent="0.25">
      <c r="B24" s="33" t="s">
        <v>5</v>
      </c>
      <c r="C24" s="20">
        <v>0</v>
      </c>
    </row>
    <row r="25" spans="2:3" x14ac:dyDescent="0.25">
      <c r="B25" s="33" t="s">
        <v>6</v>
      </c>
      <c r="C25" s="20">
        <v>0</v>
      </c>
    </row>
    <row r="26" spans="2:3" x14ac:dyDescent="0.25">
      <c r="B26" s="26" t="s">
        <v>19</v>
      </c>
      <c r="C26" s="27">
        <v>213137.6</v>
      </c>
    </row>
    <row r="27" spans="2:3" x14ac:dyDescent="0.25">
      <c r="B27" s="34"/>
      <c r="C27" s="22"/>
    </row>
    <row r="28" spans="2:3" ht="15.75" thickBot="1" x14ac:dyDescent="0.3">
      <c r="B28" s="35" t="s">
        <v>7</v>
      </c>
      <c r="C28" s="25">
        <f>+C26+C23</f>
        <v>281390.59999999998</v>
      </c>
    </row>
    <row r="29" spans="2:3" ht="15.75" thickTop="1" x14ac:dyDescent="0.25">
      <c r="B29" s="9"/>
      <c r="C29" s="31"/>
    </row>
    <row r="30" spans="2:3" ht="15.75" thickBot="1" x14ac:dyDescent="0.3">
      <c r="B30" s="30" t="s">
        <v>8</v>
      </c>
      <c r="C30" s="25">
        <f>+C16-C28</f>
        <v>571769.4</v>
      </c>
    </row>
    <row r="31" spans="2:3" ht="15.75" thickTop="1" x14ac:dyDescent="0.25">
      <c r="B31" s="17" t="s">
        <v>9</v>
      </c>
      <c r="C31" s="18">
        <v>102379</v>
      </c>
    </row>
    <row r="32" spans="2:3" ht="15.75" thickBot="1" x14ac:dyDescent="0.3">
      <c r="B32" s="9" t="s">
        <v>10</v>
      </c>
      <c r="C32" s="45">
        <v>25595</v>
      </c>
    </row>
    <row r="33" spans="2:3" x14ac:dyDescent="0.25">
      <c r="B33" s="46"/>
      <c r="C33" s="47"/>
    </row>
    <row r="34" spans="2:3" x14ac:dyDescent="0.25">
      <c r="B34" s="9"/>
      <c r="C34" s="10"/>
    </row>
    <row r="35" spans="2:3" x14ac:dyDescent="0.25">
      <c r="B35" s="9" t="s">
        <v>12</v>
      </c>
      <c r="C35" s="10"/>
    </row>
    <row r="36" spans="2:3" x14ac:dyDescent="0.25">
      <c r="B36" s="9" t="s">
        <v>11</v>
      </c>
      <c r="C36" s="10"/>
    </row>
    <row r="37" spans="2:3" x14ac:dyDescent="0.25">
      <c r="B37" s="9" t="s">
        <v>22</v>
      </c>
      <c r="C37" s="10"/>
    </row>
    <row r="38" spans="2:3" x14ac:dyDescent="0.25">
      <c r="B38" s="7" t="s">
        <v>23</v>
      </c>
      <c r="C38" s="8"/>
    </row>
    <row r="39" spans="2:3" ht="15.75" thickBot="1" x14ac:dyDescent="0.3">
      <c r="B39" s="38" t="s">
        <v>24</v>
      </c>
      <c r="C39" s="39"/>
    </row>
    <row r="40" spans="2:3" x14ac:dyDescent="0.25">
      <c r="B40" s="2"/>
      <c r="C40" s="2"/>
    </row>
  </sheetData>
  <hyperlinks>
    <hyperlink ref="B13" r:id="rId1" xr:uid="{DB68419C-4D2F-4C38-8CCE-A2C59C243CF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APRIL 2026</vt:lpstr>
      <vt:lpstr>May2026</vt:lpstr>
      <vt:lpstr>JUNE 2026</vt:lpstr>
      <vt:lpstr>July 2026</vt:lpstr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2026-06-30T06:58:13Z</cp:lastPrinted>
  <dcterms:created xsi:type="dcterms:W3CDTF">2024-09-30T03:38:16Z</dcterms:created>
  <dcterms:modified xsi:type="dcterms:W3CDTF">2026-09-02T05:22:43Z</dcterms:modified>
</cp:coreProperties>
</file>