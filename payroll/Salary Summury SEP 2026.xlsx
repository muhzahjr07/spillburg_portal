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DAILY FOLDER 2026-2027\Staff file2026-2027\Salary -Summary -SV 2026-2027\"/>
    </mc:Choice>
  </mc:AlternateContent>
  <xr:revisionPtr revIDLastSave="0" documentId="13_ncr:1_{91722909-1B14-4236-A293-3844200FE523}" xr6:coauthVersionLast="47" xr6:coauthVersionMax="47" xr10:uidLastSave="{00000000-0000-0000-0000-000000000000}"/>
  <bookViews>
    <workbookView xWindow="-120" yWindow="-120" windowWidth="20640" windowHeight="11040" xr2:uid="{B71B542B-F03E-46BF-B486-793BEE6456C2}"/>
  </bookViews>
  <sheets>
    <sheet name="MAY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" i="1" l="1"/>
  <c r="E12" i="1"/>
  <c r="N11" i="1"/>
  <c r="L16" i="1"/>
  <c r="K16" i="1"/>
  <c r="I16" i="1"/>
  <c r="H16" i="1"/>
  <c r="G16" i="1"/>
  <c r="F16" i="1"/>
  <c r="D16" i="1"/>
  <c r="C16" i="1"/>
  <c r="E11" i="1"/>
  <c r="E16" i="1" l="1"/>
</calcChain>
</file>

<file path=xl/sharedStrings.xml><?xml version="1.0" encoding="utf-8"?>
<sst xmlns="http://schemas.openxmlformats.org/spreadsheetml/2006/main" count="30" uniqueCount="26">
  <si>
    <t>SPILLBURG VACATION (PRIVATE) LIMITED</t>
  </si>
  <si>
    <t>No</t>
  </si>
  <si>
    <t>Employee Name</t>
  </si>
  <si>
    <t>Basic Salary</t>
  </si>
  <si>
    <t>Special Allowance</t>
  </si>
  <si>
    <t xml:space="preserve">       EARNINGS</t>
  </si>
  <si>
    <t xml:space="preserve">                    DEDUCTIONS</t>
  </si>
  <si>
    <t>Bonus</t>
  </si>
  <si>
    <t>Net Salary</t>
  </si>
  <si>
    <t>GR. TOTAL</t>
  </si>
  <si>
    <t>commission</t>
  </si>
  <si>
    <t>ETF</t>
  </si>
  <si>
    <t>EPF-spill</t>
  </si>
  <si>
    <t>EPF Employee</t>
  </si>
  <si>
    <t>Advance</t>
  </si>
  <si>
    <t>Deduction</t>
  </si>
  <si>
    <t>No pay</t>
  </si>
  <si>
    <t>Azeez</t>
  </si>
  <si>
    <t>-</t>
  </si>
  <si>
    <t>Total</t>
  </si>
  <si>
    <t>Checked by: Hemanthi Basnayake</t>
  </si>
  <si>
    <t>Authorized by: M.H.K.M.Hameez</t>
  </si>
  <si>
    <t>Accountant</t>
  </si>
  <si>
    <t>Managing Director</t>
  </si>
  <si>
    <t>M D SALDIN</t>
  </si>
  <si>
    <t xml:space="preserve">  STAFF SALARY FOR THE MONTH OF SEPTMBER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</si>
</sst>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4" fillId="0" borderId="1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4" xfId="0" applyBorder="1"/>
    <xf numFmtId="0" fontId="0" fillId="0" borderId="9" xfId="0" applyBorder="1"/>
    <xf numFmtId="9" fontId="2" fillId="0" borderId="4" xfId="0" applyNumberFormat="1" applyFont="1" applyBorder="1" applyAlignment="1">
      <alignment horizontal="center"/>
    </xf>
    <xf numFmtId="9" fontId="2" fillId="0" borderId="0" xfId="0" applyNumberFormat="1" applyFont="1" applyAlignment="1">
      <alignment horizontal="center"/>
    </xf>
    <xf numFmtId="9" fontId="0" fillId="0" borderId="4" xfId="0" applyNumberFormat="1" applyBorder="1"/>
    <xf numFmtId="9" fontId="0" fillId="0" borderId="0" xfId="0" applyNumberFormat="1"/>
    <xf numFmtId="43" fontId="2" fillId="0" borderId="6" xfId="1" applyFont="1" applyBorder="1"/>
    <xf numFmtId="0" fontId="0" fillId="0" borderId="4" xfId="0" applyBorder="1" applyAlignment="1">
      <alignment horizontal="center"/>
    </xf>
    <xf numFmtId="0" fontId="4" fillId="0" borderId="4" xfId="0" applyFont="1" applyBorder="1" applyAlignment="1">
      <alignment horizontal="center"/>
    </xf>
    <xf numFmtId="43" fontId="0" fillId="0" borderId="4" xfId="1" applyFont="1" applyBorder="1"/>
    <xf numFmtId="43" fontId="0" fillId="0" borderId="4" xfId="1" applyFont="1" applyBorder="1" applyAlignment="1">
      <alignment horizontal="center"/>
    </xf>
    <xf numFmtId="43" fontId="0" fillId="0" borderId="4" xfId="1" applyFont="1" applyBorder="1" applyAlignment="1">
      <alignment horizontal="right"/>
    </xf>
    <xf numFmtId="43" fontId="2" fillId="0" borderId="4" xfId="1" applyFont="1" applyBorder="1"/>
    <xf numFmtId="0" fontId="0" fillId="0" borderId="10" xfId="0" applyBorder="1" applyAlignment="1">
      <alignment horizontal="center"/>
    </xf>
    <xf numFmtId="0" fontId="4" fillId="0" borderId="10" xfId="0" applyFont="1" applyBorder="1" applyAlignment="1">
      <alignment horizontal="center"/>
    </xf>
    <xf numFmtId="43" fontId="0" fillId="0" borderId="10" xfId="1" applyFont="1" applyBorder="1"/>
    <xf numFmtId="43" fontId="0" fillId="0" borderId="10" xfId="1" applyFont="1" applyBorder="1" applyAlignment="1">
      <alignment horizontal="center"/>
    </xf>
    <xf numFmtId="43" fontId="0" fillId="0" borderId="10" xfId="1" applyFont="1" applyBorder="1" applyAlignment="1">
      <alignment horizontal="right"/>
    </xf>
    <xf numFmtId="43" fontId="2" fillId="0" borderId="10" xfId="1" applyFont="1" applyBorder="1"/>
    <xf numFmtId="43" fontId="0" fillId="0" borderId="10" xfId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/>
    </xf>
    <xf numFmtId="43" fontId="0" fillId="0" borderId="5" xfId="1" applyFont="1" applyBorder="1"/>
    <xf numFmtId="43" fontId="0" fillId="0" borderId="5" xfId="1" applyFont="1" applyBorder="1" applyAlignment="1">
      <alignment horizontal="center"/>
    </xf>
    <xf numFmtId="43" fontId="0" fillId="0" borderId="5" xfId="1" applyFont="1" applyBorder="1" applyAlignment="1">
      <alignment horizontal="right"/>
    </xf>
    <xf numFmtId="43" fontId="2" fillId="0" borderId="5" xfId="1" applyFont="1" applyBorder="1"/>
    <xf numFmtId="0" fontId="0" fillId="0" borderId="11" xfId="0" applyBorder="1" applyAlignment="1">
      <alignment horizontal="center"/>
    </xf>
    <xf numFmtId="0" fontId="4" fillId="0" borderId="12" xfId="0" applyFont="1" applyBorder="1" applyAlignment="1">
      <alignment horizontal="center"/>
    </xf>
    <xf numFmtId="43" fontId="0" fillId="0" borderId="13" xfId="1" applyFont="1" applyBorder="1"/>
    <xf numFmtId="43" fontId="0" fillId="0" borderId="13" xfId="1" applyFont="1" applyBorder="1" applyAlignment="1">
      <alignment horizontal="center"/>
    </xf>
    <xf numFmtId="43" fontId="0" fillId="0" borderId="14" xfId="1" applyFont="1" applyBorder="1"/>
    <xf numFmtId="43" fontId="0" fillId="0" borderId="15" xfId="1" applyFont="1" applyBorder="1" applyAlignment="1">
      <alignment horizontal="center"/>
    </xf>
    <xf numFmtId="43" fontId="0" fillId="0" borderId="14" xfId="1" applyFont="1" applyBorder="1" applyAlignment="1">
      <alignment horizontal="right"/>
    </xf>
    <xf numFmtId="43" fontId="0" fillId="0" borderId="14" xfId="1" applyFont="1" applyBorder="1" applyAlignment="1">
      <alignment horizontal="center"/>
    </xf>
    <xf numFmtId="43" fontId="2" fillId="0" borderId="14" xfId="1" applyFont="1" applyBorder="1"/>
    <xf numFmtId="0" fontId="0" fillId="0" borderId="0" xfId="0" applyAlignment="1">
      <alignment horizontal="center"/>
    </xf>
    <xf numFmtId="0" fontId="4" fillId="0" borderId="0" xfId="0" applyFont="1"/>
    <xf numFmtId="43" fontId="0" fillId="0" borderId="0" xfId="1" applyFont="1" applyBorder="1"/>
    <xf numFmtId="43" fontId="0" fillId="0" borderId="0" xfId="1" applyFont="1" applyBorder="1" applyAlignment="1">
      <alignment horizontal="center"/>
    </xf>
    <xf numFmtId="43" fontId="0" fillId="0" borderId="0" xfId="1" applyFont="1" applyBorder="1" applyAlignment="1">
      <alignment horizontal="right"/>
    </xf>
    <xf numFmtId="43" fontId="2" fillId="0" borderId="0" xfId="1" applyFont="1" applyBorder="1"/>
    <xf numFmtId="2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Alignment="1">
      <alignment horizontal="left"/>
    </xf>
    <xf numFmtId="43" fontId="2" fillId="0" borderId="0" xfId="1" applyFont="1" applyBorder="1" applyAlignment="1">
      <alignment horizontal="center"/>
    </xf>
    <xf numFmtId="43" fontId="2" fillId="0" borderId="0" xfId="1" applyFont="1" applyBorder="1" applyAlignment="1">
      <alignment horizontal="right"/>
    </xf>
    <xf numFmtId="0" fontId="5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3" fontId="4" fillId="0" borderId="4" xfId="1" applyFont="1" applyBorder="1" applyAlignment="1">
      <alignment horizontal="center" vertical="center"/>
    </xf>
    <xf numFmtId="43" fontId="4" fillId="0" borderId="5" xfId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97CB4-2EEE-4819-A79B-DE366EE14692}">
  <dimension ref="A5:N25"/>
  <sheetViews>
    <sheetView tabSelected="1" topLeftCell="A7" workbookViewId="0">
      <selection activeCell="E14" sqref="E14"/>
    </sheetView>
  </sheetViews>
  <sheetFormatPr defaultRowHeight="15" x14ac:dyDescent="0.25"/>
  <cols>
    <col min="1" max="1" width="3.42578125" customWidth="1"/>
    <col min="2" max="2" width="13.7109375" customWidth="1"/>
    <col min="3" max="3" width="12.7109375" customWidth="1"/>
    <col min="4" max="4" width="12.28515625" customWidth="1"/>
    <col min="5" max="5" width="14.42578125" customWidth="1"/>
    <col min="6" max="6" width="12.28515625" customWidth="1"/>
    <col min="7" max="8" width="12.7109375" customWidth="1"/>
    <col min="9" max="9" width="13" customWidth="1"/>
    <col min="10" max="10" width="11" customWidth="1"/>
    <col min="11" max="11" width="6.5703125" customWidth="1"/>
    <col min="12" max="12" width="6.85546875" customWidth="1"/>
    <col min="13" max="13" width="7.140625" customWidth="1"/>
    <col min="14" max="14" width="12.140625" customWidth="1"/>
  </cols>
  <sheetData>
    <row r="5" spans="1:14" ht="15.75" thickBot="1" x14ac:dyDescent="0.3"/>
    <row r="6" spans="1:14" ht="21.75" thickBot="1" x14ac:dyDescent="0.4">
      <c r="A6" s="59" t="s">
        <v>0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1"/>
    </row>
    <row r="7" spans="1:14" ht="21.75" thickBot="1" x14ac:dyDescent="0.4">
      <c r="A7" s="59" t="s">
        <v>25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1"/>
    </row>
    <row r="8" spans="1:14" ht="16.5" thickBot="1" x14ac:dyDescent="0.3">
      <c r="A8" s="62" t="s">
        <v>1</v>
      </c>
      <c r="B8" s="64" t="s">
        <v>2</v>
      </c>
      <c r="C8" s="64" t="s">
        <v>3</v>
      </c>
      <c r="D8" s="64" t="s">
        <v>4</v>
      </c>
      <c r="E8" s="66" t="s">
        <v>5</v>
      </c>
      <c r="F8" s="67"/>
      <c r="G8" s="67"/>
      <c r="H8" s="68"/>
      <c r="I8" s="66" t="s">
        <v>6</v>
      </c>
      <c r="J8" s="67"/>
      <c r="K8" s="67"/>
      <c r="L8" s="68"/>
      <c r="M8" s="62" t="s">
        <v>7</v>
      </c>
      <c r="N8" s="69" t="s">
        <v>8</v>
      </c>
    </row>
    <row r="9" spans="1:14" ht="32.25" thickBot="1" x14ac:dyDescent="0.3">
      <c r="A9" s="63"/>
      <c r="B9" s="65"/>
      <c r="C9" s="65"/>
      <c r="D9" s="65"/>
      <c r="E9" s="1" t="s">
        <v>9</v>
      </c>
      <c r="F9" s="2" t="s">
        <v>10</v>
      </c>
      <c r="G9" s="3" t="s">
        <v>11</v>
      </c>
      <c r="H9" s="4" t="s">
        <v>12</v>
      </c>
      <c r="I9" s="5" t="s">
        <v>13</v>
      </c>
      <c r="J9" s="6" t="s">
        <v>14</v>
      </c>
      <c r="K9" s="7" t="s">
        <v>15</v>
      </c>
      <c r="L9" s="3" t="s">
        <v>16</v>
      </c>
      <c r="M9" s="63"/>
      <c r="N9" s="70"/>
    </row>
    <row r="10" spans="1:14" ht="15.75" thickBot="1" x14ac:dyDescent="0.3">
      <c r="A10" s="8"/>
      <c r="B10" s="9"/>
      <c r="D10" s="10"/>
      <c r="E10" s="11"/>
      <c r="F10" s="12"/>
      <c r="G10" s="13">
        <v>0.03</v>
      </c>
      <c r="H10" s="14">
        <v>0.12</v>
      </c>
      <c r="I10" s="13">
        <v>0.08</v>
      </c>
      <c r="J10" s="15"/>
      <c r="K10" s="15"/>
      <c r="L10" s="15"/>
      <c r="M10" s="16"/>
      <c r="N10" s="17"/>
    </row>
    <row r="11" spans="1:14" ht="15.75" x14ac:dyDescent="0.25">
      <c r="A11" s="18">
        <v>1</v>
      </c>
      <c r="B11" s="19" t="s">
        <v>17</v>
      </c>
      <c r="C11" s="20">
        <v>40000</v>
      </c>
      <c r="D11" s="21">
        <v>25000</v>
      </c>
      <c r="E11" s="20">
        <f>C11+D11</f>
        <v>65000</v>
      </c>
      <c r="F11" s="21">
        <v>20000</v>
      </c>
      <c r="G11" s="22">
        <v>1200</v>
      </c>
      <c r="H11" s="22">
        <v>4800</v>
      </c>
      <c r="I11" s="22">
        <v>3200</v>
      </c>
      <c r="J11" s="21">
        <v>0</v>
      </c>
      <c r="K11" s="21" t="s">
        <v>18</v>
      </c>
      <c r="L11" s="21" t="s">
        <v>18</v>
      </c>
      <c r="M11" s="21" t="s">
        <v>18</v>
      </c>
      <c r="N11" s="23">
        <f>+E11+F11-I11-J11</f>
        <v>81800</v>
      </c>
    </row>
    <row r="12" spans="1:14" x14ac:dyDescent="0.25">
      <c r="A12" s="24">
        <v>2</v>
      </c>
      <c r="B12" s="58" t="s">
        <v>24</v>
      </c>
      <c r="C12" s="26">
        <v>0</v>
      </c>
      <c r="D12" s="27">
        <v>30000</v>
      </c>
      <c r="E12" s="26">
        <f>+D12</f>
        <v>30000</v>
      </c>
      <c r="F12" s="27">
        <v>0</v>
      </c>
      <c r="G12" s="28"/>
      <c r="H12" s="28"/>
      <c r="I12" s="28"/>
      <c r="J12" s="27"/>
      <c r="K12" s="27"/>
      <c r="L12" s="27"/>
      <c r="M12" s="27"/>
      <c r="N12" s="29">
        <v>30000</v>
      </c>
    </row>
    <row r="13" spans="1:14" ht="15.75" x14ac:dyDescent="0.25">
      <c r="A13" s="24"/>
      <c r="B13" s="25"/>
      <c r="C13" s="26"/>
      <c r="D13" s="27"/>
      <c r="E13" s="26"/>
      <c r="F13" s="27"/>
      <c r="G13" s="28">
        <v>0</v>
      </c>
      <c r="H13" s="28">
        <v>0</v>
      </c>
      <c r="I13" s="28">
        <v>0</v>
      </c>
      <c r="J13" s="27">
        <v>0</v>
      </c>
      <c r="K13" s="27">
        <v>0</v>
      </c>
      <c r="L13" s="27"/>
      <c r="M13" s="27"/>
      <c r="N13" s="30"/>
    </row>
    <row r="14" spans="1:14" ht="15.75" x14ac:dyDescent="0.25">
      <c r="A14" s="24"/>
      <c r="B14" s="25"/>
      <c r="C14" s="26"/>
      <c r="D14" s="27"/>
      <c r="E14" s="26"/>
      <c r="F14" s="27"/>
      <c r="G14" s="28"/>
      <c r="H14" s="28"/>
      <c r="I14" s="28"/>
      <c r="J14" s="27"/>
      <c r="K14" s="27"/>
      <c r="L14" s="27"/>
      <c r="M14" s="27"/>
      <c r="N14" s="29"/>
    </row>
    <row r="15" spans="1:14" ht="16.5" thickBot="1" x14ac:dyDescent="0.3">
      <c r="A15" s="31"/>
      <c r="B15" s="32"/>
      <c r="C15" s="33"/>
      <c r="D15" s="34"/>
      <c r="E15" s="33"/>
      <c r="F15" s="34"/>
      <c r="G15" s="35"/>
      <c r="H15" s="35"/>
      <c r="I15" s="35"/>
      <c r="J15" s="34"/>
      <c r="K15" s="34"/>
      <c r="L15" s="34"/>
      <c r="M15" s="34"/>
      <c r="N15" s="36"/>
    </row>
    <row r="16" spans="1:14" ht="16.5" thickBot="1" x14ac:dyDescent="0.3">
      <c r="A16" s="37"/>
      <c r="B16" s="38" t="s">
        <v>19</v>
      </c>
      <c r="C16" s="39">
        <f>SUM(C11:C15)</f>
        <v>40000</v>
      </c>
      <c r="D16" s="40">
        <f>SUM(D11:D15)</f>
        <v>55000</v>
      </c>
      <c r="E16" s="41">
        <f>SUM(E11:E15)</f>
        <v>95000</v>
      </c>
      <c r="F16" s="42">
        <f>F11</f>
        <v>20000</v>
      </c>
      <c r="G16" s="43">
        <f>G11</f>
        <v>1200</v>
      </c>
      <c r="H16" s="43">
        <f>H11</f>
        <v>4800</v>
      </c>
      <c r="I16" s="43">
        <f>I11</f>
        <v>3200</v>
      </c>
      <c r="J16" s="44" t="s">
        <v>18</v>
      </c>
      <c r="K16" s="44">
        <f>SUM(K13:K15)</f>
        <v>0</v>
      </c>
      <c r="L16" s="44">
        <f>SUM(L13:L15)</f>
        <v>0</v>
      </c>
      <c r="M16" s="42" t="s">
        <v>18</v>
      </c>
      <c r="N16" s="45">
        <f>+N12+N11</f>
        <v>111800</v>
      </c>
    </row>
    <row r="17" spans="1:14" ht="15.75" x14ac:dyDescent="0.25">
      <c r="A17" s="46"/>
      <c r="B17" s="47"/>
      <c r="C17" s="48"/>
      <c r="D17" s="49"/>
      <c r="E17" s="48"/>
      <c r="F17" s="48"/>
      <c r="G17" s="50"/>
      <c r="H17" s="50"/>
      <c r="I17" s="50"/>
      <c r="J17" s="49"/>
      <c r="K17" s="49"/>
      <c r="L17" s="49"/>
      <c r="M17" s="48"/>
      <c r="N17" s="51"/>
    </row>
    <row r="18" spans="1:14" ht="15.75" x14ac:dyDescent="0.25">
      <c r="A18" s="46"/>
      <c r="B18" s="47"/>
      <c r="C18" s="51"/>
      <c r="D18" s="56"/>
      <c r="E18" s="51"/>
      <c r="F18" s="51"/>
      <c r="G18" s="57"/>
      <c r="H18" s="57"/>
      <c r="I18" s="50"/>
      <c r="J18" s="49"/>
      <c r="K18" s="49"/>
      <c r="L18" s="49"/>
      <c r="M18" s="48"/>
      <c r="N18" s="51"/>
    </row>
    <row r="19" spans="1:14" ht="15.75" x14ac:dyDescent="0.25">
      <c r="A19" s="46"/>
      <c r="B19" s="47"/>
      <c r="C19" s="48"/>
      <c r="D19" s="49"/>
      <c r="E19" s="48"/>
      <c r="F19" s="48"/>
      <c r="G19" s="50"/>
      <c r="H19" s="50"/>
      <c r="I19" s="50"/>
      <c r="J19" s="49"/>
      <c r="K19" s="49"/>
      <c r="L19" s="49"/>
      <c r="M19" s="48"/>
      <c r="N19" s="51"/>
    </row>
    <row r="21" spans="1:14" ht="15.75" x14ac:dyDescent="0.25">
      <c r="A21" s="47"/>
      <c r="B21" s="48"/>
      <c r="C21" s="50"/>
      <c r="D21" s="48"/>
      <c r="E21" s="52"/>
      <c r="F21" s="50"/>
      <c r="G21" s="48"/>
      <c r="H21" s="48"/>
      <c r="I21" s="48"/>
      <c r="J21" s="48"/>
      <c r="K21" s="48"/>
      <c r="L21" s="48"/>
    </row>
    <row r="22" spans="1:14" x14ac:dyDescent="0.25">
      <c r="F22" s="53"/>
      <c r="M22" s="48"/>
    </row>
    <row r="23" spans="1:14" x14ac:dyDescent="0.25">
      <c r="A23" s="54"/>
      <c r="B23" s="54" t="s">
        <v>20</v>
      </c>
      <c r="J23" s="54" t="s">
        <v>21</v>
      </c>
    </row>
    <row r="24" spans="1:14" x14ac:dyDescent="0.25">
      <c r="B24" s="55" t="s">
        <v>22</v>
      </c>
      <c r="J24" t="s">
        <v>23</v>
      </c>
    </row>
    <row r="25" spans="1:14" x14ac:dyDescent="0.25">
      <c r="B25" s="53"/>
      <c r="J25" s="46"/>
    </row>
  </sheetData>
  <mergeCells count="10">
    <mergeCell ref="A6:N6"/>
    <mergeCell ref="A7:N7"/>
    <mergeCell ref="A8:A9"/>
    <mergeCell ref="B8:B9"/>
    <mergeCell ref="C8:C9"/>
    <mergeCell ref="D8:D9"/>
    <mergeCell ref="E8:H8"/>
    <mergeCell ref="I8:L8"/>
    <mergeCell ref="M8:M9"/>
    <mergeCell ref="N8:N9"/>
  </mergeCells>
  <pageMargins left="0.7" right="0.7" top="0.75" bottom="0.75" header="0.3" footer="0.3"/>
  <pageSetup scale="8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2026-10-05T11:43:46Z</cp:lastPrinted>
  <dcterms:created xsi:type="dcterms:W3CDTF">2025-05-05T04:44:50Z</dcterms:created>
  <dcterms:modified xsi:type="dcterms:W3CDTF">2026-10-05T11:44:25Z</dcterms:modified>
</cp:coreProperties>
</file>