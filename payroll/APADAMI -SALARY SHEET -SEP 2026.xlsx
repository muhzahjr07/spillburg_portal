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SALARY SHEET\Apadmi salary -Sep 2026\"/>
    </mc:Choice>
  </mc:AlternateContent>
  <xr:revisionPtr revIDLastSave="0" documentId="13_ncr:1_{A23CF32E-E7B7-4FB7-AE2B-057D4B246B5B}" xr6:coauthVersionLast="47" xr6:coauthVersionMax="47" xr10:uidLastSave="{00000000-0000-0000-0000-000000000000}"/>
  <bookViews>
    <workbookView xWindow="-120" yWindow="-120" windowWidth="20640" windowHeight="11040" xr2:uid="{C63F36E0-1ADC-49A8-A140-864C5FC2DBE8}"/>
  </bookViews>
  <sheets>
    <sheet name="SEP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9" i="1" l="1"/>
  <c r="M31" i="1"/>
  <c r="J27" i="1"/>
  <c r="J36" i="1"/>
  <c r="J37" i="1"/>
  <c r="J38" i="1"/>
  <c r="I27" i="1"/>
  <c r="I29" i="1"/>
  <c r="I32" i="1"/>
  <c r="I34" i="1"/>
  <c r="H27" i="1"/>
  <c r="G34" i="1"/>
  <c r="G32" i="1"/>
  <c r="G31" i="1"/>
  <c r="G30" i="1"/>
  <c r="G29" i="1"/>
  <c r="G28" i="1"/>
  <c r="G27" i="1"/>
  <c r="J39" i="1"/>
  <c r="F39" i="1"/>
  <c r="K39" i="1"/>
  <c r="D39" i="1"/>
  <c r="G39" i="1" l="1"/>
  <c r="I14" i="1"/>
  <c r="I13" i="1"/>
  <c r="I12" i="1"/>
  <c r="I11" i="1"/>
  <c r="I10" i="1"/>
  <c r="I9" i="1"/>
  <c r="I8" i="1"/>
  <c r="I7" i="1"/>
  <c r="I6" i="1"/>
  <c r="I5" i="1"/>
  <c r="I17" i="1" s="1"/>
  <c r="M34" i="1"/>
  <c r="M33" i="1"/>
  <c r="M32" i="1"/>
  <c r="M30" i="1"/>
  <c r="M29" i="1"/>
  <c r="M28" i="1"/>
  <c r="M26" i="1"/>
  <c r="M35" i="1"/>
  <c r="D17" i="1"/>
  <c r="I16" i="1"/>
  <c r="I15" i="1"/>
  <c r="M27" i="1" l="1"/>
  <c r="F17" i="1"/>
  <c r="H17" i="1" l="1"/>
  <c r="G17" i="1"/>
  <c r="M36" i="1" l="1"/>
  <c r="M37" i="1" l="1"/>
  <c r="I39" i="1"/>
  <c r="M38" i="1"/>
  <c r="H39" i="1" l="1"/>
</calcChain>
</file>

<file path=xl/sharedStrings.xml><?xml version="1.0" encoding="utf-8"?>
<sst xmlns="http://schemas.openxmlformats.org/spreadsheetml/2006/main" count="92" uniqueCount="61">
  <si>
    <t>No</t>
  </si>
  <si>
    <t>Employee Name</t>
  </si>
  <si>
    <t>POSITION</t>
  </si>
  <si>
    <t>GBP Salary</t>
  </si>
  <si>
    <t>EPF (12% )</t>
  </si>
  <si>
    <t>ETF(3% )</t>
  </si>
  <si>
    <t>AMOUNT</t>
  </si>
  <si>
    <t>BANK ACCOUNT NO</t>
  </si>
  <si>
    <t>TIN NO</t>
  </si>
  <si>
    <t>IDNO</t>
  </si>
  <si>
    <t>Date of Joined</t>
  </si>
  <si>
    <t>MS PIRIYATHARSHINI SENTHIL KUMARAN</t>
  </si>
  <si>
    <t>SENIOR SOFTWARE ENGINEER</t>
  </si>
  <si>
    <t>8005702912(COMM)</t>
  </si>
  <si>
    <t xml:space="preserve">MALINDU KIRINDEGAMAARACHCHI </t>
  </si>
  <si>
    <t>2000391287(COMM)</t>
  </si>
  <si>
    <t xml:space="preserve">PRAMITHA SAMARAKOON </t>
  </si>
  <si>
    <t>SENIOR  PROJECT MANAGER</t>
  </si>
  <si>
    <t>162020085297(HNB)</t>
  </si>
  <si>
    <t>935050340V</t>
  </si>
  <si>
    <t>009010503482(HNB)</t>
  </si>
  <si>
    <t>931312669V</t>
  </si>
  <si>
    <t>034020062782(HNB )</t>
  </si>
  <si>
    <t>955102908 V</t>
  </si>
  <si>
    <t>ILEPERUMA ARACHCHIGE SHASHIKA ERANDI</t>
  </si>
  <si>
    <t>106956029794(SAMPATH)</t>
  </si>
  <si>
    <t>936160328V</t>
  </si>
  <si>
    <t>AHANGAMA VITHANAGE SHALINI AMANDA PREMATHILAKA</t>
  </si>
  <si>
    <t>QA ANALYST</t>
  </si>
  <si>
    <t>027020521595(HNB)</t>
  </si>
  <si>
    <t>955123166V</t>
  </si>
  <si>
    <t>ALUTHWALA HEWAGE WIKUM  CHANDIMAL</t>
  </si>
  <si>
    <t>8270052984(COMM)</t>
  </si>
  <si>
    <t xml:space="preserve">VEKNESWARAN PRATHIESHNA </t>
  </si>
  <si>
    <t xml:space="preserve">SENIOR SOFTWARE ENGINEER </t>
  </si>
  <si>
    <t>Column1</t>
  </si>
  <si>
    <t>Column2</t>
  </si>
  <si>
    <t>Checked by: Hemanthi Basnayake</t>
  </si>
  <si>
    <t>Accountant</t>
  </si>
  <si>
    <t>Authorized by: Shaameel Mohideen</t>
  </si>
  <si>
    <t>Spillburg Holdings (pvt)Ltd</t>
  </si>
  <si>
    <t>NAADIRA PARVEEN JUMAT</t>
  </si>
  <si>
    <t>GROWTH DIRECTOR</t>
  </si>
  <si>
    <t>200300100426(NTB)</t>
  </si>
  <si>
    <t>928604543V</t>
  </si>
  <si>
    <t>LKR</t>
  </si>
  <si>
    <t>EPF 8%</t>
  </si>
  <si>
    <t>APIT</t>
  </si>
  <si>
    <t>EPF12%</t>
  </si>
  <si>
    <t>ETF 3%</t>
  </si>
  <si>
    <t>TOTAL</t>
  </si>
  <si>
    <t xml:space="preserve"> MOHOMED RAIHANATHUL  MUHEESA</t>
  </si>
  <si>
    <t>Column3</t>
  </si>
  <si>
    <t>EGODA ARACHCHIGE KUSHANI ANURADHA</t>
  </si>
  <si>
    <t>14.09.2026</t>
  </si>
  <si>
    <t>QA ENGINEER</t>
  </si>
  <si>
    <t>17 D</t>
  </si>
  <si>
    <t xml:space="preserve">SALARY SHEET  (IN GBP ) -SEPEMBER 2026 </t>
  </si>
  <si>
    <t>908114167V</t>
  </si>
  <si>
    <t>703-020085698 (HNB)</t>
  </si>
  <si>
    <t>SALARY SHEET  (IN GBP ) -SEPTEMBER2026. @440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</si>
</sst>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Leelawadee UI Semilight"/>
      <family val="2"/>
    </font>
    <font>
      <b/>
      <sz val="10"/>
      <color rgb="FFFFFFFF"/>
      <name val="Leelawadee UI Semilight"/>
      <family val="2"/>
    </font>
    <font>
      <b/>
      <sz val="10"/>
      <color rgb="FFFFFFFF"/>
      <name val="Latha"/>
      <family val="2"/>
    </font>
    <font>
      <b/>
      <sz val="10"/>
      <color rgb="FFFFFFFF"/>
      <name val="Aptos Display"/>
      <family val="2"/>
    </font>
    <font>
      <b/>
      <sz val="8"/>
      <color rgb="FFFFFFFF"/>
      <name val="Leelawadee UI Semilight"/>
      <family val="2"/>
    </font>
    <font>
      <b/>
      <sz val="8"/>
      <color theme="1"/>
      <name val="Arial Narrow"/>
      <family val="2"/>
    </font>
    <font>
      <sz val="8"/>
      <name val="Calibri"/>
      <family val="2"/>
      <scheme val="minor"/>
    </font>
    <font>
      <b/>
      <sz val="8"/>
      <color rgb="FFFFFFFF"/>
      <name val="Latha"/>
      <family val="2"/>
    </font>
    <font>
      <b/>
      <sz val="8"/>
      <color theme="1"/>
      <name val="Segoe UI Emoji"/>
      <family val="2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Leelawadee UI Semilight"/>
      <family val="2"/>
    </font>
    <font>
      <b/>
      <sz val="10"/>
      <color theme="1"/>
      <name val="Imprint MT Shadow"/>
      <family val="5"/>
    </font>
    <font>
      <b/>
      <sz val="9"/>
      <color theme="1"/>
      <name val="Arial Narrow"/>
      <family val="2"/>
    </font>
    <font>
      <b/>
      <sz val="9"/>
      <color theme="1"/>
      <name val="Segoe UI Emoji"/>
      <family val="2"/>
    </font>
    <font>
      <b/>
      <sz val="7"/>
      <color theme="1"/>
      <name val="Arial Narrow"/>
      <family val="2"/>
    </font>
    <font>
      <b/>
      <sz val="10"/>
      <color theme="1"/>
      <name val="Segoe UI Emoji"/>
      <family val="2"/>
    </font>
    <font>
      <b/>
      <sz val="11"/>
      <color theme="1"/>
      <name val="Imprint MT Shadow"/>
      <family val="5"/>
    </font>
    <font>
      <b/>
      <sz val="11"/>
      <color theme="1"/>
      <name val="Segoe UI Emoji"/>
      <family val="2"/>
    </font>
    <font>
      <b/>
      <sz val="8"/>
      <color theme="1"/>
      <name val="Aptos Narrow"/>
      <family val="2"/>
    </font>
    <font>
      <b/>
      <sz val="9"/>
      <color theme="1"/>
      <name val="Aptos Narrow"/>
      <family val="2"/>
    </font>
    <font>
      <b/>
      <sz val="10"/>
      <color theme="1"/>
      <name val="Leelawadee UI Semilight"/>
      <family val="2"/>
    </font>
    <font>
      <b/>
      <sz val="10"/>
      <color theme="0"/>
      <name val="Imprint MT Shadow"/>
      <family val="5"/>
    </font>
    <font>
      <b/>
      <sz val="8"/>
      <color theme="1"/>
      <name val="Imprint MT Shadow"/>
      <family val="5"/>
    </font>
    <font>
      <sz val="8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8"/>
      <color theme="1"/>
      <name val="Leelawadee UI Semi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/>
    <xf numFmtId="0" fontId="9" fillId="2" borderId="1" xfId="0" applyFont="1" applyFill="1" applyBorder="1" applyAlignment="1">
      <alignment horizontal="center"/>
    </xf>
    <xf numFmtId="0" fontId="11" fillId="0" borderId="0" xfId="0" applyFont="1"/>
    <xf numFmtId="0" fontId="10" fillId="0" borderId="0" xfId="0" applyFont="1"/>
    <xf numFmtId="0" fontId="12" fillId="0" borderId="0" xfId="0" applyFont="1"/>
    <xf numFmtId="0" fontId="15" fillId="0" borderId="1" xfId="1" applyNumberFormat="1" applyFont="1" applyBorder="1" applyAlignment="1">
      <alignment horizontal="center"/>
    </xf>
    <xf numFmtId="14" fontId="15" fillId="0" borderId="1" xfId="1" applyNumberFormat="1" applyFont="1" applyBorder="1"/>
    <xf numFmtId="1" fontId="15" fillId="0" borderId="1" xfId="0" applyNumberFormat="1" applyFont="1" applyBorder="1" applyAlignment="1">
      <alignment horizontal="center"/>
    </xf>
    <xf numFmtId="1" fontId="15" fillId="0" borderId="1" xfId="1" applyNumberFormat="1" applyFont="1" applyBorder="1" applyAlignment="1">
      <alignment horizontal="center"/>
    </xf>
    <xf numFmtId="14" fontId="15" fillId="0" borderId="1" xfId="0" applyNumberFormat="1" applyFont="1" applyBorder="1"/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4" fillId="0" borderId="2" xfId="0" applyFont="1" applyBorder="1"/>
    <xf numFmtId="43" fontId="16" fillId="0" borderId="2" xfId="1" applyFont="1" applyBorder="1"/>
    <xf numFmtId="43" fontId="18" fillId="0" borderId="2" xfId="1" applyFont="1" applyBorder="1"/>
    <xf numFmtId="43" fontId="18" fillId="0" borderId="2" xfId="0" applyNumberFormat="1" applyFont="1" applyBorder="1"/>
    <xf numFmtId="0" fontId="14" fillId="0" borderId="3" xfId="0" applyFont="1" applyBorder="1"/>
    <xf numFmtId="43" fontId="18" fillId="0" borderId="3" xfId="0" applyNumberFormat="1" applyFont="1" applyBorder="1"/>
    <xf numFmtId="43" fontId="18" fillId="0" borderId="4" xfId="0" applyNumberFormat="1" applyFont="1" applyBorder="1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left"/>
    </xf>
    <xf numFmtId="0" fontId="21" fillId="0" borderId="1" xfId="0" applyFont="1" applyBorder="1"/>
    <xf numFmtId="43" fontId="22" fillId="0" borderId="1" xfId="1" applyFont="1" applyBorder="1"/>
    <xf numFmtId="43" fontId="21" fillId="0" borderId="1" xfId="1" applyFont="1" applyBorder="1"/>
    <xf numFmtId="43" fontId="21" fillId="0" borderId="1" xfId="0" applyNumberFormat="1" applyFont="1" applyBorder="1"/>
    <xf numFmtId="43" fontId="22" fillId="0" borderId="2" xfId="0" applyNumberFormat="1" applyFont="1" applyBorder="1"/>
    <xf numFmtId="43" fontId="21" fillId="0" borderId="2" xfId="0" applyNumberFormat="1" applyFont="1" applyBorder="1"/>
    <xf numFmtId="43" fontId="22" fillId="0" borderId="2" xfId="1" applyFont="1" applyBorder="1"/>
    <xf numFmtId="43" fontId="22" fillId="0" borderId="3" xfId="0" applyNumberFormat="1" applyFont="1" applyBorder="1"/>
    <xf numFmtId="43" fontId="21" fillId="0" borderId="3" xfId="0" applyNumberFormat="1" applyFont="1" applyBorder="1"/>
    <xf numFmtId="0" fontId="23" fillId="0" borderId="0" xfId="0" applyFont="1"/>
    <xf numFmtId="0" fontId="14" fillId="4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4" fillId="5" borderId="6" xfId="0" applyFont="1" applyFill="1" applyBorder="1" applyAlignment="1">
      <alignment horizontal="center"/>
    </xf>
    <xf numFmtId="43" fontId="21" fillId="0" borderId="1" xfId="1" applyFont="1" applyBorder="1" applyAlignment="1"/>
    <xf numFmtId="0" fontId="25" fillId="0" borderId="5" xfId="0" applyFont="1" applyBorder="1"/>
    <xf numFmtId="0" fontId="25" fillId="0" borderId="1" xfId="0" applyFont="1" applyBorder="1"/>
    <xf numFmtId="43" fontId="21" fillId="0" borderId="0" xfId="1" applyFont="1" applyAlignment="1"/>
    <xf numFmtId="43" fontId="21" fillId="0" borderId="0" xfId="0" applyNumberFormat="1" applyFont="1"/>
    <xf numFmtId="43" fontId="10" fillId="0" borderId="1" xfId="1" applyFont="1" applyBorder="1"/>
    <xf numFmtId="43" fontId="21" fillId="0" borderId="2" xfId="1" applyFont="1" applyBorder="1"/>
    <xf numFmtId="0" fontId="25" fillId="0" borderId="2" xfId="0" applyFont="1" applyBorder="1"/>
    <xf numFmtId="43" fontId="26" fillId="0" borderId="0" xfId="0" applyNumberFormat="1" applyFont="1"/>
    <xf numFmtId="0" fontId="26" fillId="0" borderId="0" xfId="0" applyFont="1"/>
    <xf numFmtId="0" fontId="15" fillId="0" borderId="0" xfId="0" applyFont="1"/>
    <xf numFmtId="0" fontId="17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27" fillId="0" borderId="1" xfId="0" applyFont="1" applyBorder="1"/>
    <xf numFmtId="43" fontId="15" fillId="0" borderId="1" xfId="0" applyNumberFormat="1" applyFont="1" applyBorder="1"/>
    <xf numFmtId="43" fontId="15" fillId="0" borderId="1" xfId="1" applyFont="1" applyBorder="1"/>
    <xf numFmtId="43" fontId="27" fillId="0" borderId="1" xfId="1" applyFont="1" applyBorder="1"/>
    <xf numFmtId="43" fontId="27" fillId="0" borderId="1" xfId="0" applyNumberFormat="1" applyFont="1" applyBorder="1"/>
    <xf numFmtId="0" fontId="7" fillId="0" borderId="7" xfId="0" applyFont="1" applyBorder="1"/>
    <xf numFmtId="0" fontId="27" fillId="0" borderId="7" xfId="0" applyFont="1" applyBorder="1"/>
    <xf numFmtId="43" fontId="7" fillId="0" borderId="8" xfId="0" applyNumberFormat="1" applyFont="1" applyBorder="1"/>
    <xf numFmtId="43" fontId="21" fillId="0" borderId="9" xfId="1" applyFont="1" applyBorder="1"/>
    <xf numFmtId="43" fontId="21" fillId="0" borderId="9" xfId="0" applyNumberFormat="1" applyFont="1" applyBorder="1"/>
    <xf numFmtId="43" fontId="17" fillId="0" borderId="9" xfId="0" applyNumberFormat="1" applyFont="1" applyBorder="1"/>
    <xf numFmtId="43" fontId="7" fillId="0" borderId="8" xfId="1" applyFont="1" applyBorder="1"/>
    <xf numFmtId="0" fontId="15" fillId="0" borderId="0" xfId="0" applyFont="1" applyAlignment="1">
      <alignment horizontal="center"/>
    </xf>
    <xf numFmtId="43" fontId="15" fillId="0" borderId="1" xfId="1" applyFont="1" applyFill="1" applyBorder="1"/>
    <xf numFmtId="0" fontId="14" fillId="0" borderId="0" xfId="0" applyFont="1"/>
    <xf numFmtId="43" fontId="22" fillId="0" borderId="0" xfId="0" applyNumberFormat="1" applyFont="1"/>
    <xf numFmtId="43" fontId="18" fillId="0" borderId="0" xfId="0" applyNumberFormat="1" applyFont="1"/>
    <xf numFmtId="43" fontId="15" fillId="0" borderId="0" xfId="1" applyFont="1"/>
    <xf numFmtId="43" fontId="21" fillId="0" borderId="7" xfId="1" applyFont="1" applyBorder="1"/>
    <xf numFmtId="43" fontId="21" fillId="0" borderId="7" xfId="0" applyNumberFormat="1" applyFont="1" applyBorder="1"/>
    <xf numFmtId="43" fontId="21" fillId="0" borderId="8" xfId="1" applyFont="1" applyBorder="1"/>
    <xf numFmtId="43" fontId="21" fillId="0" borderId="8" xfId="0" applyNumberFormat="1" applyFont="1" applyBorder="1"/>
    <xf numFmtId="0" fontId="14" fillId="4" borderId="7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24" fillId="3" borderId="11" xfId="0" applyFont="1" applyFill="1" applyBorder="1" applyAlignment="1">
      <alignment horizontal="center"/>
    </xf>
    <xf numFmtId="43" fontId="15" fillId="0" borderId="2" xfId="1" applyFont="1" applyFill="1" applyBorder="1"/>
    <xf numFmtId="43" fontId="15" fillId="0" borderId="2" xfId="1" applyFont="1" applyBorder="1"/>
    <xf numFmtId="0" fontId="14" fillId="0" borderId="1" xfId="0" applyFont="1" applyBorder="1" applyAlignment="1">
      <alignment horizontal="center"/>
    </xf>
    <xf numFmtId="43" fontId="22" fillId="0" borderId="1" xfId="0" applyNumberFormat="1" applyFont="1" applyBorder="1"/>
    <xf numFmtId="0" fontId="0" fillId="0" borderId="1" xfId="0" applyBorder="1"/>
    <xf numFmtId="43" fontId="26" fillId="0" borderId="1" xfId="0" applyNumberFormat="1" applyFont="1" applyBorder="1"/>
    <xf numFmtId="43" fontId="10" fillId="0" borderId="1" xfId="0" applyNumberFormat="1" applyFont="1" applyBorder="1"/>
    <xf numFmtId="1" fontId="7" fillId="0" borderId="1" xfId="0" applyNumberFormat="1" applyFont="1" applyBorder="1" applyAlignment="1">
      <alignment horizontal="center"/>
    </xf>
    <xf numFmtId="43" fontId="7" fillId="0" borderId="1" xfId="1" applyFont="1" applyBorder="1" applyAlignment="1">
      <alignment horizontal="center"/>
    </xf>
    <xf numFmtId="0" fontId="7" fillId="0" borderId="0" xfId="0" applyFont="1" applyAlignment="1">
      <alignment horizontal="center"/>
    </xf>
    <xf numFmtId="43" fontId="7" fillId="0" borderId="1" xfId="1" applyFont="1" applyBorder="1"/>
    <xf numFmtId="43" fontId="10" fillId="0" borderId="2" xfId="1" applyFont="1" applyBorder="1"/>
    <xf numFmtId="43" fontId="10" fillId="0" borderId="3" xfId="0" applyNumberFormat="1" applyFont="1" applyBorder="1"/>
    <xf numFmtId="43" fontId="10" fillId="0" borderId="0" xfId="0" applyNumberFormat="1" applyFont="1"/>
    <xf numFmtId="0" fontId="28" fillId="0" borderId="0" xfId="0" applyFont="1"/>
    <xf numFmtId="0" fontId="2" fillId="0" borderId="0" xfId="0" applyFont="1" applyAlignment="1">
      <alignment horizontal="center"/>
    </xf>
    <xf numFmtId="0" fontId="13" fillId="0" borderId="0" xfId="0" applyFont="1"/>
  </cellXfs>
  <cellStyles count="2">
    <cellStyle name="Comma" xfId="1" builtinId="3"/>
    <cellStyle name="Normal" xfId="0" builtinId="0"/>
  </cellStyles>
  <dxfs count="54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mprint MT Shadow"/>
        <family val="5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Imprint MT Shadow"/>
        <family val="5"/>
        <scheme val="none"/>
      </font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</dxf>
    <dxf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 style="medium">
          <color indexed="64"/>
        </right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/>
        <right/>
        <top style="medium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  <border diagonalUp="0" diagonalDown="0" outline="0">
        <left/>
        <right/>
        <top style="medium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Imprint MT Shadow"/>
        <family val="5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  <dxf>
      <font>
        <b/>
        <strike val="0"/>
        <outline val="0"/>
        <shadow val="0"/>
        <u val="none"/>
        <vertAlign val="baseline"/>
        <sz val="10"/>
        <name val="Leelawadee UI Semilight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FA7F03-732B-48C1-961A-7914CE0D5D88}" name="SalaryTable34" displayName="SalaryTable34" ref="B4:M17" totalsRowCount="1" headerRowDxfId="53" dataDxfId="52" totalsRowDxfId="51">
  <autoFilter ref="B4:M16" xr:uid="{1CFA7F03-732B-48C1-961A-7914CE0D5D88}"/>
  <tableColumns count="12">
    <tableColumn id="2" xr3:uid="{A779A54A-CE3D-4127-896F-99E3FC96550B}" name="Employee Name" dataDxfId="50" totalsRowDxfId="49"/>
    <tableColumn id="13" xr3:uid="{4CDBF648-9C62-4C50-A0CF-ED2D8968B83B}" name="POSITION" dataDxfId="48" totalsRowDxfId="47"/>
    <tableColumn id="3" xr3:uid="{A91DD093-C68E-4F29-A143-F046BA9F0FD4}" name="GBP Salary" totalsRowFunction="custom" dataDxfId="46" totalsRowDxfId="45">
      <calculatedColumnFormula>1939*476</calculatedColumnFormula>
      <totalsRowFormula>SUM(D5:D16)</totalsRowFormula>
    </tableColumn>
    <tableColumn id="4" xr3:uid="{6FD5C254-E046-427A-8569-642EDE78FE16}" name="Column1" dataDxfId="44" totalsRowDxfId="43"/>
    <tableColumn id="5" xr3:uid="{A97A3DD0-8AF5-4DF7-B46A-D7FCB5C9EA32}" name="Column2" totalsRowFunction="custom" dataDxfId="42" totalsRowDxfId="41">
      <totalsRowFormula>SUM(F5:F16)</totalsRowFormula>
    </tableColumn>
    <tableColumn id="6" xr3:uid="{1AA58DBB-16F3-4D6B-ADD8-50428631BD08}" name="EPF (12% )" totalsRowFunction="custom" dataDxfId="40" totalsRowDxfId="39">
      <calculatedColumnFormula>+#REF!*12%</calculatedColumnFormula>
      <totalsRowFormula>SUM(G5:G16)</totalsRowFormula>
    </tableColumn>
    <tableColumn id="8" xr3:uid="{9E83220A-2D07-4FFD-97B3-7333D8F29E90}" name="ETF(3% )" totalsRowFunction="custom" dataDxfId="38" totalsRowDxfId="37" dataCellStyle="Comma">
      <totalsRowFormula>SUM(H5:H16)</totalsRowFormula>
    </tableColumn>
    <tableColumn id="7" xr3:uid="{C176733A-9E58-4FFA-BA19-F827CDDE7721}" name="AMOUNT" totalsRowFunction="custom" dataDxfId="36" totalsRowDxfId="35" dataCellStyle="Comma">
      <calculatedColumnFormula>+SalaryTable34[[#This Row],[GBP Salary]]+SalaryTable34[[#This Row],[EPF (12% )]]+SalaryTable34[[#This Row],[ETF(3% )]]</calculatedColumnFormula>
      <totalsRowFormula>+I14+I13+I12+I11+I10+I9+I8+I7+I6+I5</totalsRowFormula>
    </tableColumn>
    <tableColumn id="12" xr3:uid="{0A1D074A-C72A-4DBE-BD2F-651FF9279076}" name="BANK ACCOUNT NO" dataDxfId="34" totalsRowDxfId="33" dataCellStyle="Comma"/>
    <tableColumn id="11" xr3:uid="{97086B1D-3410-4AAD-B589-F865DBD10956}" name="TIN NO" dataDxfId="32" totalsRowDxfId="31" dataCellStyle="Comma"/>
    <tableColumn id="10" xr3:uid="{A395BF67-9F49-4615-93CE-B22828AAC096}" name="IDNO" dataDxfId="30" totalsRowDxfId="29" dataCellStyle="Comma"/>
    <tableColumn id="9" xr3:uid="{CED3B7DA-3DE5-40F5-84F1-A38ECFA9B221}" name="Date of Joined" dataDxfId="28" totalsRow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199CA4-1B89-4552-96A6-0700695AA514}" name="SalaryTable342" displayName="SalaryTable342" ref="B25:M39" totalsRowCount="1" headerRowDxfId="26" dataDxfId="25" totalsRowDxfId="24">
  <autoFilter ref="B25:M38" xr:uid="{D2199CA4-1B89-4552-96A6-0700695AA514}"/>
  <tableColumns count="12">
    <tableColumn id="1" xr3:uid="{52A6D513-A2BC-48F0-A231-BDE30DBBDF0D}" name="Employee Name" dataDxfId="23" totalsRowDxfId="22"/>
    <tableColumn id="2" xr3:uid="{59504E8C-BE33-4962-BF87-13581D5AD1AB}" name="POSITION" dataDxfId="21" totalsRowDxfId="20"/>
    <tableColumn id="3" xr3:uid="{85187965-BD6B-4A09-BCF5-D6FC27009A51}" name="GBP Salary" totalsRowFunction="custom" dataDxfId="19" totalsRowDxfId="18">
      <calculatedColumnFormula>1939*476</calculatedColumnFormula>
      <totalsRowFormula>SUM(D26:D38)</totalsRowFormula>
    </tableColumn>
    <tableColumn id="4" xr3:uid="{DCF6C4A2-E703-4744-8489-548DEB4748CF}" name="Column1" dataDxfId="17" totalsRowDxfId="16"/>
    <tableColumn id="5" xr3:uid="{12983A99-51E8-4016-8675-9244F2382721}" name="Column2" totalsRowFunction="custom" dataDxfId="15" totalsRowDxfId="14" dataCellStyle="Comma">
      <totalsRowFormula>SUM(F26:F38)</totalsRowFormula>
    </tableColumn>
    <tableColumn id="6" xr3:uid="{57FB6966-2FCC-4829-BF51-67C6865C62D7}" name="LKR" totalsRowFunction="custom" dataDxfId="13" totalsRowDxfId="12">
      <calculatedColumnFormula>1939*440</calculatedColumnFormula>
      <totalsRowFormula>SUM(G26:G38)</totalsRowFormula>
    </tableColumn>
    <tableColumn id="8" xr3:uid="{BC9DABED-5FC2-455E-9C18-FC2E58FB10B0}" name="EPF 8%" totalsRowFunction="custom" dataDxfId="11" totalsRowDxfId="10" dataCellStyle="Comma">
      <calculatedColumnFormula>+SalaryTable342[[#This Row],[EPF12%]]/12*8</calculatedColumnFormula>
      <totalsRowFormula>SUM(H26:H38)</totalsRowFormula>
    </tableColumn>
    <tableColumn id="7" xr3:uid="{02518C5A-BD55-4284-AAF7-49476517ADAD}" name="EPF12%" totalsRowFunction="custom" dataDxfId="9" totalsRowDxfId="8" dataCellStyle="Comma">
      <calculatedColumnFormula>+SalaryTable342[[#This Row],[EPF 8%]]/8*12</calculatedColumnFormula>
      <totalsRowFormula>SUM(I26:I38)</totalsRowFormula>
    </tableColumn>
    <tableColumn id="12" xr3:uid="{C74872D1-FDC8-4993-A220-CE0B3A315557}" name="ETF 3%" totalsRowFunction="custom" dataDxfId="7" totalsRowDxfId="6" dataCellStyle="Comma">
      <calculatedColumnFormula>+SalaryTable342[[#This Row],[LKR]]*3%</calculatedColumnFormula>
      <totalsRowFormula>SUM(J26:J38)</totalsRowFormula>
    </tableColumn>
    <tableColumn id="11" xr3:uid="{7DCD39E1-1CDF-4813-99F4-E6EDE1CB961A}" name="APIT" totalsRowFunction="custom" dataDxfId="5" totalsRowDxfId="4" dataCellStyle="Comma">
      <totalsRowFormula>SUM(K26:K38)</totalsRowFormula>
    </tableColumn>
    <tableColumn id="13" xr3:uid="{E35E7822-0214-4949-88B5-9D56125B1659}" name="Column3" dataDxfId="3" totalsRowDxfId="2"/>
    <tableColumn id="10" xr3:uid="{E49C19C1-FBC5-45FD-A188-2E796A862C25}" name="TOTAL" totalsRowFunction="custom" dataDxfId="1" totalsRowDxfId="0" dataCellStyle="Comma">
      <calculatedColumnFormula>+SalaryTable342[[#This Row],[LKR]]-SalaryTable342[[#This Row],[EPF 8%]]-SalaryTable342[[#This Row],[APIT]]</calculatedColumnFormula>
      <totalsRowFormula>SUM(M26:M38)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D4C9-6CC8-4213-83BC-937C4CC6D3FE}">
  <dimension ref="A1:M40"/>
  <sheetViews>
    <sheetView tabSelected="1" topLeftCell="B31" workbookViewId="0">
      <selection activeCell="M26" sqref="M26:M39"/>
    </sheetView>
  </sheetViews>
  <sheetFormatPr defaultRowHeight="15" x14ac:dyDescent="0.25"/>
  <cols>
    <col min="1" max="1" width="4.140625" customWidth="1"/>
    <col min="2" max="2" width="31.5703125" customWidth="1"/>
    <col min="3" max="3" width="20.85546875" customWidth="1"/>
    <col min="4" max="4" width="10.5703125" customWidth="1"/>
    <col min="5" max="5" width="3.7109375" style="7" customWidth="1"/>
    <col min="6" max="6" width="10.28515625" customWidth="1"/>
    <col min="7" max="7" width="11.140625" customWidth="1"/>
    <col min="8" max="8" width="9.5703125" customWidth="1"/>
    <col min="9" max="9" width="10.5703125" customWidth="1"/>
    <col min="10" max="10" width="10.85546875" customWidth="1"/>
    <col min="11" max="11" width="12.7109375" customWidth="1"/>
    <col min="12" max="12" width="9.5703125" style="49" customWidth="1"/>
    <col min="13" max="13" width="11.85546875" customWidth="1"/>
  </cols>
  <sheetData>
    <row r="1" spans="1:13" x14ac:dyDescent="0.25">
      <c r="B1" s="9"/>
      <c r="C1" s="9"/>
      <c r="D1" s="9"/>
      <c r="F1" s="9"/>
      <c r="G1" s="9"/>
      <c r="H1" s="9"/>
      <c r="I1" s="9"/>
      <c r="J1" s="9"/>
      <c r="K1" s="9"/>
      <c r="L1" s="7"/>
      <c r="M1" s="9"/>
    </row>
    <row r="2" spans="1:13" ht="20.25" x14ac:dyDescent="0.35">
      <c r="B2" s="94" t="s">
        <v>57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</row>
    <row r="3" spans="1:13" ht="20.25" x14ac:dyDescent="0.35"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</row>
    <row r="4" spans="1:13" ht="17.25" x14ac:dyDescent="0.4">
      <c r="A4" s="1" t="s">
        <v>0</v>
      </c>
      <c r="B4" s="1" t="s">
        <v>1</v>
      </c>
      <c r="C4" s="1" t="s">
        <v>2</v>
      </c>
      <c r="D4" s="2" t="s">
        <v>3</v>
      </c>
      <c r="E4" s="6" t="s">
        <v>35</v>
      </c>
      <c r="F4" s="2" t="s">
        <v>36</v>
      </c>
      <c r="G4" s="2" t="s">
        <v>4</v>
      </c>
      <c r="H4" s="2" t="s">
        <v>5</v>
      </c>
      <c r="I4" s="2" t="s">
        <v>6</v>
      </c>
      <c r="J4" s="3" t="s">
        <v>7</v>
      </c>
      <c r="K4" s="2" t="s">
        <v>8</v>
      </c>
      <c r="L4" s="6" t="s">
        <v>9</v>
      </c>
      <c r="M4" s="4" t="s">
        <v>10</v>
      </c>
    </row>
    <row r="5" spans="1:13" x14ac:dyDescent="0.25">
      <c r="A5" s="37">
        <v>1</v>
      </c>
      <c r="B5" s="5" t="s">
        <v>11</v>
      </c>
      <c r="C5" s="59" t="s">
        <v>12</v>
      </c>
      <c r="D5" s="56">
        <v>1939</v>
      </c>
      <c r="E5" s="62"/>
      <c r="F5" s="28">
        <v>1939</v>
      </c>
      <c r="G5" s="56">
        <v>233</v>
      </c>
      <c r="H5" s="28">
        <v>58</v>
      </c>
      <c r="I5" s="56">
        <f>+SalaryTable34[[#This Row],[Column2]]+SalaryTable34[[#This Row],[EPF (12% )]]+SalaryTable34[[#This Row],[ETF(3% )]]</f>
        <v>2230</v>
      </c>
      <c r="J5" s="65" t="s">
        <v>13</v>
      </c>
      <c r="K5" s="10">
        <v>123494520</v>
      </c>
      <c r="L5" s="86">
        <v>198485700230</v>
      </c>
      <c r="M5" s="11">
        <v>46127</v>
      </c>
    </row>
    <row r="6" spans="1:13" x14ac:dyDescent="0.25">
      <c r="A6" s="38">
        <v>2</v>
      </c>
      <c r="B6" s="5" t="s">
        <v>14</v>
      </c>
      <c r="C6" s="59" t="s">
        <v>12</v>
      </c>
      <c r="D6" s="56">
        <v>1305</v>
      </c>
      <c r="E6" s="62"/>
      <c r="F6" s="28">
        <v>1305</v>
      </c>
      <c r="G6" s="56">
        <v>157</v>
      </c>
      <c r="H6" s="28">
        <v>39</v>
      </c>
      <c r="I6" s="56">
        <f>+SalaryTable34[[#This Row],[Column2]]+SalaryTable34[[#This Row],[EPF (12% )]]+SalaryTable34[[#This Row],[ETF(3% )]]</f>
        <v>1501</v>
      </c>
      <c r="J6" s="65" t="s">
        <v>15</v>
      </c>
      <c r="K6" s="12">
        <v>166758793</v>
      </c>
      <c r="L6" s="86">
        <v>199732610173</v>
      </c>
      <c r="M6" s="11">
        <v>46147</v>
      </c>
    </row>
    <row r="7" spans="1:13" x14ac:dyDescent="0.25">
      <c r="A7" s="37">
        <v>3</v>
      </c>
      <c r="B7" s="5" t="s">
        <v>16</v>
      </c>
      <c r="C7" s="59" t="s">
        <v>17</v>
      </c>
      <c r="D7" s="67">
        <v>3042</v>
      </c>
      <c r="E7" s="63"/>
      <c r="F7" s="28">
        <v>3042</v>
      </c>
      <c r="G7" s="56">
        <v>365</v>
      </c>
      <c r="H7" s="28">
        <v>91</v>
      </c>
      <c r="I7" s="56">
        <f>+SalaryTable34[[#This Row],[Column2]]+SalaryTable34[[#This Row],[EPF (12% )]]+SalaryTable34[[#This Row],[ETF(3% )]]</f>
        <v>3498</v>
      </c>
      <c r="J7" s="65" t="s">
        <v>18</v>
      </c>
      <c r="K7" s="13">
        <v>106829160</v>
      </c>
      <c r="L7" s="87" t="s">
        <v>19</v>
      </c>
      <c r="M7" s="14">
        <v>46164</v>
      </c>
    </row>
    <row r="8" spans="1:13" x14ac:dyDescent="0.25">
      <c r="A8" s="38">
        <v>4</v>
      </c>
      <c r="B8" s="5" t="s">
        <v>33</v>
      </c>
      <c r="C8" s="59" t="s">
        <v>12</v>
      </c>
      <c r="D8" s="67">
        <v>1539.15</v>
      </c>
      <c r="E8" s="64"/>
      <c r="F8" s="28">
        <v>1539.15</v>
      </c>
      <c r="G8" s="56">
        <v>185</v>
      </c>
      <c r="H8" s="28">
        <v>46</v>
      </c>
      <c r="I8" s="56">
        <f>+SalaryTable34[[#This Row],[Column2]]+SalaryTable34[[#This Row],[EPF (12% )]]+SalaryTable34[[#This Row],[ETF(3% )]]</f>
        <v>1770.15</v>
      </c>
      <c r="J8" s="65" t="s">
        <v>20</v>
      </c>
      <c r="K8" s="12">
        <v>107593594</v>
      </c>
      <c r="L8" s="87" t="s">
        <v>21</v>
      </c>
      <c r="M8" s="14">
        <v>46237</v>
      </c>
    </row>
    <row r="9" spans="1:13" x14ac:dyDescent="0.25">
      <c r="A9" s="37">
        <v>5</v>
      </c>
      <c r="B9" s="27" t="s">
        <v>41</v>
      </c>
      <c r="C9" s="59" t="s">
        <v>42</v>
      </c>
      <c r="D9" s="67">
        <v>2916</v>
      </c>
      <c r="E9" s="64"/>
      <c r="F9" s="28">
        <v>2916</v>
      </c>
      <c r="G9" s="56">
        <v>350</v>
      </c>
      <c r="H9" s="28">
        <v>88</v>
      </c>
      <c r="I9" s="56">
        <f>+SalaryTable34[[#This Row],[Column2]]+SalaryTable34[[#This Row],[EPF (12% )]]+SalaryTable34[[#This Row],[ETF(3% )]]</f>
        <v>3354</v>
      </c>
      <c r="J9" s="65" t="s">
        <v>43</v>
      </c>
      <c r="K9" s="16">
        <v>105173261</v>
      </c>
      <c r="L9" s="87" t="s">
        <v>44</v>
      </c>
      <c r="M9" s="14">
        <v>46237</v>
      </c>
    </row>
    <row r="10" spans="1:13" x14ac:dyDescent="0.25">
      <c r="A10" s="38">
        <v>6</v>
      </c>
      <c r="B10" s="5" t="s">
        <v>51</v>
      </c>
      <c r="C10" s="59" t="s">
        <v>34</v>
      </c>
      <c r="D10" s="67">
        <v>2297.35</v>
      </c>
      <c r="E10" s="64"/>
      <c r="F10" s="28">
        <v>2297.35</v>
      </c>
      <c r="G10" s="56">
        <v>276</v>
      </c>
      <c r="H10" s="28">
        <v>69</v>
      </c>
      <c r="I10" s="56">
        <f>+SalaryTable34[[#This Row],[Column2]]+SalaryTable34[[#This Row],[EPF (12% )]]+SalaryTable34[[#This Row],[ETF(3% )]]</f>
        <v>2642.35</v>
      </c>
      <c r="J10" s="65" t="s">
        <v>22</v>
      </c>
      <c r="K10" s="16">
        <v>109670308</v>
      </c>
      <c r="L10" s="87" t="s">
        <v>23</v>
      </c>
      <c r="M10" s="14">
        <v>46251</v>
      </c>
    </row>
    <row r="11" spans="1:13" x14ac:dyDescent="0.25">
      <c r="A11" s="37">
        <v>7</v>
      </c>
      <c r="B11" s="5" t="s">
        <v>24</v>
      </c>
      <c r="C11" s="59" t="s">
        <v>12</v>
      </c>
      <c r="D11" s="67">
        <v>1160.05</v>
      </c>
      <c r="E11" s="64"/>
      <c r="F11" s="28">
        <v>1160.05</v>
      </c>
      <c r="G11" s="56">
        <v>139</v>
      </c>
      <c r="H11" s="28">
        <v>35</v>
      </c>
      <c r="I11" s="56">
        <f>+SalaryTable34[[#This Row],[Column2]]+SalaryTable34[[#This Row],[EPF (12% )]]+SalaryTable34[[#This Row],[ETF(3% )]]</f>
        <v>1334.05</v>
      </c>
      <c r="J11" s="65" t="s">
        <v>25</v>
      </c>
      <c r="K11" s="16">
        <v>189585837</v>
      </c>
      <c r="L11" s="87" t="s">
        <v>26</v>
      </c>
      <c r="M11" s="14">
        <v>46251</v>
      </c>
    </row>
    <row r="12" spans="1:13" x14ac:dyDescent="0.25">
      <c r="A12" s="38">
        <v>8</v>
      </c>
      <c r="B12" s="5" t="s">
        <v>27</v>
      </c>
      <c r="C12" s="59" t="s">
        <v>28</v>
      </c>
      <c r="D12" s="67">
        <v>927.17</v>
      </c>
      <c r="E12" s="64"/>
      <c r="F12" s="28">
        <v>927.17</v>
      </c>
      <c r="G12" s="56">
        <v>111</v>
      </c>
      <c r="H12" s="28">
        <v>28</v>
      </c>
      <c r="I12" s="56">
        <f>+SalaryTable34[[#This Row],[Column2]]+SalaryTable34[[#This Row],[EPF (12% )]]+SalaryTable34[[#This Row],[ETF(3% )]]</f>
        <v>1066.17</v>
      </c>
      <c r="J12" s="65" t="s">
        <v>29</v>
      </c>
      <c r="K12" s="16">
        <v>109695556</v>
      </c>
      <c r="L12" s="87" t="s">
        <v>30</v>
      </c>
      <c r="M12" s="14">
        <v>46251</v>
      </c>
    </row>
    <row r="13" spans="1:13" x14ac:dyDescent="0.25">
      <c r="A13" s="37">
        <v>9</v>
      </c>
      <c r="B13" s="5" t="s">
        <v>31</v>
      </c>
      <c r="C13" s="59" t="s">
        <v>12</v>
      </c>
      <c r="D13" s="67">
        <v>1349.6</v>
      </c>
      <c r="E13" s="64"/>
      <c r="F13" s="28">
        <v>1349.6</v>
      </c>
      <c r="G13" s="56">
        <v>162</v>
      </c>
      <c r="H13" s="28">
        <v>40</v>
      </c>
      <c r="I13" s="56">
        <f>+SalaryTable34[[#This Row],[Column2]]+SalaryTable34[[#This Row],[EPF (12% )]]+SalaryTable34[[#This Row],[ETF(3% )]]</f>
        <v>1551.6</v>
      </c>
      <c r="J13" s="65" t="s">
        <v>32</v>
      </c>
      <c r="K13" s="16">
        <v>116335352</v>
      </c>
      <c r="L13" s="86">
        <v>198912202203</v>
      </c>
      <c r="M13" s="14">
        <v>46251</v>
      </c>
    </row>
    <row r="14" spans="1:13" x14ac:dyDescent="0.25">
      <c r="A14" s="38">
        <v>10</v>
      </c>
      <c r="B14" s="50" t="s">
        <v>53</v>
      </c>
      <c r="C14" s="52" t="s">
        <v>55</v>
      </c>
      <c r="D14" s="67">
        <v>1539.15</v>
      </c>
      <c r="E14" s="51" t="s">
        <v>56</v>
      </c>
      <c r="F14" s="28">
        <v>872.19</v>
      </c>
      <c r="G14" s="56">
        <v>104</v>
      </c>
      <c r="H14" s="28">
        <v>26</v>
      </c>
      <c r="I14" s="56">
        <f>+SalaryTable34[[#This Row],[Column2]]+SalaryTable34[[#This Row],[EPF (12% )]]+SalaryTable34[[#This Row],[ETF(3% )]]</f>
        <v>1002.19</v>
      </c>
      <c r="J14" s="52" t="s">
        <v>59</v>
      </c>
      <c r="K14" s="66">
        <v>108022086</v>
      </c>
      <c r="L14" s="88" t="s">
        <v>58</v>
      </c>
      <c r="M14" s="53" t="s">
        <v>54</v>
      </c>
    </row>
    <row r="15" spans="1:13" x14ac:dyDescent="0.25">
      <c r="A15" s="37"/>
      <c r="B15" s="54"/>
      <c r="C15" s="60"/>
      <c r="D15" s="67"/>
      <c r="E15" s="61"/>
      <c r="F15" s="55"/>
      <c r="G15" s="55"/>
      <c r="H15" s="56"/>
      <c r="I15" s="56">
        <f>+SalaryTable34[[#This Row],[GBP Salary]]+SalaryTable34[[#This Row],[EPF (12% )]]+SalaryTable34[[#This Row],[ETF(3% )]]</f>
        <v>0</v>
      </c>
      <c r="J15" s="56"/>
      <c r="K15" s="57"/>
      <c r="L15" s="89"/>
      <c r="M15" s="58"/>
    </row>
    <row r="16" spans="1:13" ht="15.75" thickBot="1" x14ac:dyDescent="0.3">
      <c r="A16" s="39"/>
      <c r="B16" s="17"/>
      <c r="C16" s="17"/>
      <c r="D16" s="31"/>
      <c r="E16" s="32"/>
      <c r="F16" s="31"/>
      <c r="G16" s="31"/>
      <c r="H16" s="33"/>
      <c r="I16" s="33">
        <f>+SalaryTable34[[#This Row],[GBP Salary]]+SalaryTable34[[#This Row],[EPF (12% )]]+SalaryTable34[[#This Row],[ETF(3% )]]</f>
        <v>0</v>
      </c>
      <c r="J16" s="18"/>
      <c r="K16" s="19"/>
      <c r="L16" s="90"/>
      <c r="M16" s="20"/>
    </row>
    <row r="17" spans="1:13" x14ac:dyDescent="0.25">
      <c r="B17" s="21"/>
      <c r="C17" s="21"/>
      <c r="D17" s="34">
        <f>SUM(D5:D16)</f>
        <v>18014.47</v>
      </c>
      <c r="E17" s="35"/>
      <c r="F17" s="34">
        <f>SUM(F5:F16)</f>
        <v>17347.509999999998</v>
      </c>
      <c r="G17" s="34">
        <f>SUM(G5:G16)</f>
        <v>2082</v>
      </c>
      <c r="H17" s="34">
        <f>SUM(H5:H16)</f>
        <v>520</v>
      </c>
      <c r="I17" s="34">
        <f>+I14+I13+I12+I11+I10+I9+I8+I7+I6+I5</f>
        <v>19949.510000000002</v>
      </c>
      <c r="J17" s="22"/>
      <c r="K17" s="22"/>
      <c r="L17" s="91"/>
      <c r="M17" s="23"/>
    </row>
    <row r="18" spans="1:13" x14ac:dyDescent="0.25">
      <c r="B18" s="68"/>
      <c r="C18" s="68"/>
      <c r="D18" s="69"/>
      <c r="E18" s="44"/>
      <c r="F18" s="69"/>
      <c r="G18" s="69"/>
      <c r="H18" s="69"/>
      <c r="I18" s="69"/>
      <c r="J18" s="70"/>
      <c r="K18" s="70"/>
      <c r="L18" s="92"/>
      <c r="M18" s="70"/>
    </row>
    <row r="19" spans="1:13" x14ac:dyDescent="0.25">
      <c r="B19" s="68"/>
      <c r="C19" s="68"/>
      <c r="D19" s="69"/>
      <c r="E19" s="44"/>
      <c r="F19" s="69"/>
      <c r="G19" s="69"/>
      <c r="H19" s="69"/>
      <c r="I19" s="69"/>
      <c r="J19" s="70"/>
      <c r="K19" s="70"/>
      <c r="L19" s="92"/>
      <c r="M19" s="70"/>
    </row>
    <row r="20" spans="1:13" ht="16.5" x14ac:dyDescent="0.3">
      <c r="B20" s="24"/>
      <c r="C20" s="24"/>
      <c r="D20" s="25"/>
      <c r="E20" s="8"/>
      <c r="F20" s="25"/>
      <c r="G20" s="25"/>
      <c r="H20" s="25"/>
      <c r="I20" s="25"/>
      <c r="J20" s="25"/>
      <c r="K20" s="25"/>
      <c r="L20" s="8"/>
      <c r="M20" s="25"/>
    </row>
    <row r="21" spans="1:13" x14ac:dyDescent="0.25">
      <c r="B21" s="9" t="s">
        <v>37</v>
      </c>
      <c r="E21"/>
      <c r="J21" s="9" t="s">
        <v>39</v>
      </c>
    </row>
    <row r="22" spans="1:13" x14ac:dyDescent="0.25">
      <c r="B22" s="26" t="s">
        <v>38</v>
      </c>
      <c r="E22"/>
      <c r="J22" s="9" t="s">
        <v>40</v>
      </c>
    </row>
    <row r="23" spans="1:13" x14ac:dyDescent="0.25">
      <c r="B23" s="9"/>
      <c r="C23" s="9"/>
      <c r="D23" s="9"/>
      <c r="E23" s="9"/>
      <c r="F23" s="7"/>
      <c r="G23" s="9"/>
      <c r="H23" s="9"/>
      <c r="I23" s="9"/>
      <c r="J23" s="9"/>
      <c r="K23" s="9"/>
      <c r="L23" s="7"/>
      <c r="M23" s="9"/>
    </row>
    <row r="24" spans="1:13" ht="20.25" x14ac:dyDescent="0.35">
      <c r="B24" s="94" t="s">
        <v>60</v>
      </c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5"/>
    </row>
    <row r="25" spans="1:13" x14ac:dyDescent="0.25">
      <c r="A25" s="1" t="s">
        <v>0</v>
      </c>
      <c r="B25" s="1" t="s">
        <v>1</v>
      </c>
      <c r="C25" s="1" t="s">
        <v>2</v>
      </c>
      <c r="D25" s="2" t="s">
        <v>3</v>
      </c>
      <c r="E25" s="6" t="s">
        <v>35</v>
      </c>
      <c r="F25" s="2" t="s">
        <v>36</v>
      </c>
      <c r="G25" s="2" t="s">
        <v>45</v>
      </c>
      <c r="H25" s="2" t="s">
        <v>46</v>
      </c>
      <c r="I25" s="2" t="s">
        <v>48</v>
      </c>
      <c r="J25" s="3" t="s">
        <v>49</v>
      </c>
      <c r="K25" s="36" t="s">
        <v>47</v>
      </c>
      <c r="L25" s="93" t="s">
        <v>52</v>
      </c>
      <c r="M25" s="2" t="s">
        <v>50</v>
      </c>
    </row>
    <row r="26" spans="1:13" x14ac:dyDescent="0.25">
      <c r="A26" s="37">
        <v>1</v>
      </c>
      <c r="B26" s="5" t="s">
        <v>11</v>
      </c>
      <c r="C26" s="5" t="s">
        <v>12</v>
      </c>
      <c r="D26" s="29">
        <v>1939</v>
      </c>
      <c r="E26" s="72"/>
      <c r="F26" s="56">
        <v>1939</v>
      </c>
      <c r="G26" s="74">
        <v>853160</v>
      </c>
      <c r="H26" s="29">
        <v>68253</v>
      </c>
      <c r="I26" s="56">
        <v>102379</v>
      </c>
      <c r="J26" s="28">
        <v>25595</v>
      </c>
      <c r="K26" s="40">
        <v>213138</v>
      </c>
      <c r="L26" s="41"/>
      <c r="M26" s="29">
        <f>+SalaryTable342[[#This Row],[LKR]]-SalaryTable342[[#This Row],[EPF 8%]]-SalaryTable342[[#This Row],[APIT]]</f>
        <v>571769</v>
      </c>
    </row>
    <row r="27" spans="1:13" x14ac:dyDescent="0.25">
      <c r="A27" s="38">
        <v>2</v>
      </c>
      <c r="B27" s="5" t="s">
        <v>14</v>
      </c>
      <c r="C27" s="5" t="s">
        <v>12</v>
      </c>
      <c r="D27" s="29">
        <v>1305</v>
      </c>
      <c r="E27" s="72"/>
      <c r="F27" s="56">
        <v>1305</v>
      </c>
      <c r="G27" s="74">
        <f>1305*440</f>
        <v>574200</v>
      </c>
      <c r="H27" s="29">
        <f>+SalaryTable342[[#This Row],[LKR]]*8%</f>
        <v>45936</v>
      </c>
      <c r="I27" s="56">
        <f>+SalaryTable342[[#This Row],[EPF 8%]]/8*12</f>
        <v>68904</v>
      </c>
      <c r="J27" s="28">
        <f>+SalaryTable342[[#This Row],[LKR]]*3%</f>
        <v>17226</v>
      </c>
      <c r="K27" s="40">
        <v>112712</v>
      </c>
      <c r="L27" s="42"/>
      <c r="M27" s="29">
        <f>+SalaryTable342[[#This Row],[LKR]]-SalaryTable342[[#This Row],[EPF 8%]]-SalaryTable342[[#This Row],[APIT]]</f>
        <v>415552</v>
      </c>
    </row>
    <row r="28" spans="1:13" x14ac:dyDescent="0.25">
      <c r="A28" s="37">
        <v>3</v>
      </c>
      <c r="B28" s="5" t="s">
        <v>16</v>
      </c>
      <c r="C28" s="5" t="s">
        <v>17</v>
      </c>
      <c r="D28" s="30">
        <v>3042</v>
      </c>
      <c r="E28" s="73"/>
      <c r="F28" s="56">
        <v>3042</v>
      </c>
      <c r="G28" s="74">
        <f>3042*440</f>
        <v>1338480</v>
      </c>
      <c r="H28" s="29">
        <v>107078</v>
      </c>
      <c r="I28" s="56">
        <v>160618</v>
      </c>
      <c r="J28" s="28">
        <v>40154</v>
      </c>
      <c r="K28" s="40">
        <v>387853</v>
      </c>
      <c r="L28" s="42"/>
      <c r="M28" s="29">
        <f>+SalaryTable342[[#This Row],[LKR]]-SalaryTable342[[#This Row],[EPF 8%]]-SalaryTable342[[#This Row],[APIT]]</f>
        <v>843549</v>
      </c>
    </row>
    <row r="29" spans="1:13" x14ac:dyDescent="0.25">
      <c r="A29" s="38">
        <v>4</v>
      </c>
      <c r="B29" s="5" t="s">
        <v>33</v>
      </c>
      <c r="C29" s="5" t="s">
        <v>12</v>
      </c>
      <c r="D29" s="30">
        <v>1539.15</v>
      </c>
      <c r="E29" s="73"/>
      <c r="F29" s="56">
        <v>1539.15</v>
      </c>
      <c r="G29" s="74">
        <f>1539.15*440</f>
        <v>677226</v>
      </c>
      <c r="H29" s="29">
        <v>54178</v>
      </c>
      <c r="I29" s="56">
        <f>+SalaryTable342[[#This Row],[EPF 8%]]/8*12</f>
        <v>81267</v>
      </c>
      <c r="J29" s="28">
        <v>20317</v>
      </c>
      <c r="K29" s="40">
        <v>149801</v>
      </c>
      <c r="L29" s="42"/>
      <c r="M29" s="29">
        <f>+SalaryTable342[[#This Row],[LKR]]-SalaryTable342[[#This Row],[EPF 8%]]-SalaryTable342[[#This Row],[APIT]]</f>
        <v>473247</v>
      </c>
    </row>
    <row r="30" spans="1:13" x14ac:dyDescent="0.25">
      <c r="A30" s="37">
        <v>5</v>
      </c>
      <c r="B30" s="27" t="s">
        <v>41</v>
      </c>
      <c r="C30" s="5" t="s">
        <v>42</v>
      </c>
      <c r="D30" s="30">
        <v>2916</v>
      </c>
      <c r="E30" s="73"/>
      <c r="F30" s="56">
        <v>2916</v>
      </c>
      <c r="G30" s="75">
        <f>2916*440</f>
        <v>1283040</v>
      </c>
      <c r="H30" s="29">
        <v>102643</v>
      </c>
      <c r="I30" s="56">
        <v>153965</v>
      </c>
      <c r="J30" s="28">
        <v>38491</v>
      </c>
      <c r="K30" s="40">
        <v>367894</v>
      </c>
      <c r="L30" s="42"/>
      <c r="M30" s="29">
        <f>+SalaryTable342[[#This Row],[LKR]]-SalaryTable342[[#This Row],[EPF 8%]]-SalaryTable342[[#This Row],[APIT]]</f>
        <v>812503</v>
      </c>
    </row>
    <row r="31" spans="1:13" x14ac:dyDescent="0.25">
      <c r="A31" s="38">
        <v>6</v>
      </c>
      <c r="B31" s="5" t="s">
        <v>51</v>
      </c>
      <c r="C31" s="5" t="s">
        <v>34</v>
      </c>
      <c r="D31" s="30">
        <v>2297.35</v>
      </c>
      <c r="E31" s="73"/>
      <c r="F31" s="56">
        <v>2297.35</v>
      </c>
      <c r="G31" s="74">
        <f>2297.35*440</f>
        <v>1010834</v>
      </c>
      <c r="H31" s="29">
        <v>80867</v>
      </c>
      <c r="I31" s="56">
        <v>121300</v>
      </c>
      <c r="J31" s="28">
        <v>30325</v>
      </c>
      <c r="K31" s="40">
        <v>269900</v>
      </c>
      <c r="L31" s="42"/>
      <c r="M31" s="29">
        <f>+SalaryTable342[[#This Row],[LKR]]-SalaryTable342[[#This Row],[EPF 8%]]-SalaryTable342[[#This Row],[APIT]]</f>
        <v>660067</v>
      </c>
    </row>
    <row r="32" spans="1:13" x14ac:dyDescent="0.25">
      <c r="A32" s="37">
        <v>7</v>
      </c>
      <c r="B32" s="5" t="s">
        <v>24</v>
      </c>
      <c r="C32" s="5" t="s">
        <v>12</v>
      </c>
      <c r="D32" s="30">
        <v>1160.05</v>
      </c>
      <c r="E32" s="73"/>
      <c r="F32" s="56">
        <v>1160.05</v>
      </c>
      <c r="G32" s="74">
        <f>1160.05*440</f>
        <v>510422</v>
      </c>
      <c r="H32" s="29">
        <v>40834</v>
      </c>
      <c r="I32" s="56">
        <f>+SalaryTable342[[#This Row],[EPF 8%]]/8*12</f>
        <v>61251</v>
      </c>
      <c r="J32" s="28">
        <v>15313</v>
      </c>
      <c r="K32" s="40">
        <v>89752</v>
      </c>
      <c r="L32" s="42"/>
      <c r="M32" s="29">
        <f>+SalaryTable342[[#This Row],[LKR]]-SalaryTable342[[#This Row],[EPF 8%]]-SalaryTable342[[#This Row],[APIT]]</f>
        <v>379836</v>
      </c>
    </row>
    <row r="33" spans="1:13" x14ac:dyDescent="0.25">
      <c r="A33" s="38">
        <v>8</v>
      </c>
      <c r="B33" s="5" t="s">
        <v>27</v>
      </c>
      <c r="C33" s="5" t="s">
        <v>28</v>
      </c>
      <c r="D33" s="30">
        <v>927.17</v>
      </c>
      <c r="E33" s="73"/>
      <c r="F33" s="56">
        <v>927.17</v>
      </c>
      <c r="G33" s="74">
        <v>407955</v>
      </c>
      <c r="H33" s="29">
        <v>32636</v>
      </c>
      <c r="I33" s="56">
        <v>48955</v>
      </c>
      <c r="J33" s="28">
        <v>12238</v>
      </c>
      <c r="K33" s="40">
        <v>52864</v>
      </c>
      <c r="L33" s="42"/>
      <c r="M33" s="29">
        <f>+SalaryTable342[[#This Row],[LKR]]-SalaryTable342[[#This Row],[EPF 8%]]-SalaryTable342[[#This Row],[APIT]]</f>
        <v>322455</v>
      </c>
    </row>
    <row r="34" spans="1:13" x14ac:dyDescent="0.25">
      <c r="A34" s="37">
        <v>9</v>
      </c>
      <c r="B34" s="5" t="s">
        <v>31</v>
      </c>
      <c r="C34" s="5" t="s">
        <v>12</v>
      </c>
      <c r="D34" s="30">
        <v>1349.6</v>
      </c>
      <c r="E34" s="73"/>
      <c r="F34" s="56">
        <v>1349.6</v>
      </c>
      <c r="G34" s="74">
        <f>1349.6*440</f>
        <v>593824</v>
      </c>
      <c r="H34" s="29">
        <v>47506</v>
      </c>
      <c r="I34" s="56">
        <f>+SalaryTable342[[#This Row],[EPF 8%]]/8*12</f>
        <v>71259</v>
      </c>
      <c r="J34" s="28">
        <v>17815</v>
      </c>
      <c r="K34" s="43">
        <v>119777</v>
      </c>
      <c r="L34" s="42"/>
      <c r="M34" s="29">
        <f>+SalaryTable342[[#This Row],[LKR]]-SalaryTable342[[#This Row],[EPF 8%]]-SalaryTable342[[#This Row],[APIT]]</f>
        <v>426541</v>
      </c>
    </row>
    <row r="35" spans="1:13" x14ac:dyDescent="0.25">
      <c r="A35" s="38">
        <v>10</v>
      </c>
      <c r="B35" s="50" t="s">
        <v>53</v>
      </c>
      <c r="C35" s="52" t="s">
        <v>55</v>
      </c>
      <c r="D35" s="79">
        <v>1539.15</v>
      </c>
      <c r="E35" s="51" t="s">
        <v>56</v>
      </c>
      <c r="F35" s="80">
        <v>872.19</v>
      </c>
      <c r="G35" s="44">
        <v>383764</v>
      </c>
      <c r="H35" s="44">
        <v>30701</v>
      </c>
      <c r="I35" s="56">
        <v>46052</v>
      </c>
      <c r="J35" s="28">
        <v>11513</v>
      </c>
      <c r="K35" s="46">
        <v>44155</v>
      </c>
      <c r="L35" s="47"/>
      <c r="M35" s="44">
        <f>+SalaryTable342[[#This Row],[LKR]]-SalaryTable342[[#This Row],[EPF 8%]]-SalaryTable342[[#This Row],[APIT]]</f>
        <v>308908</v>
      </c>
    </row>
    <row r="36" spans="1:13" x14ac:dyDescent="0.25">
      <c r="A36" s="76"/>
      <c r="B36" s="81"/>
      <c r="C36" s="15"/>
      <c r="D36" s="30"/>
      <c r="E36" s="30"/>
      <c r="F36" s="56"/>
      <c r="G36" s="30"/>
      <c r="H36" s="29"/>
      <c r="I36" s="55"/>
      <c r="J36" s="56">
        <f>+SalaryTable342[[#This Row],[LKR]]*3%</f>
        <v>0</v>
      </c>
      <c r="K36" s="29"/>
      <c r="L36" s="42"/>
      <c r="M36" s="45">
        <f>+SalaryTable342[[#This Row],[LKR]]-SalaryTable342[[#This Row],[EPF 8%]]-SalaryTable342[[#This Row],[APIT]]</f>
        <v>0</v>
      </c>
    </row>
    <row r="37" spans="1:13" ht="15.75" thickBot="1" x14ac:dyDescent="0.3">
      <c r="A37" s="77"/>
      <c r="B37" s="81"/>
      <c r="C37" s="15"/>
      <c r="D37" s="30"/>
      <c r="E37" s="30"/>
      <c r="F37" s="56"/>
      <c r="G37" s="30"/>
      <c r="H37" s="29"/>
      <c r="I37" s="82"/>
      <c r="J37" s="28">
        <f>+SalaryTable342[[#This Row],[LKR]]*3%</f>
        <v>0</v>
      </c>
      <c r="K37" s="45"/>
      <c r="L37" s="42"/>
      <c r="M37" s="45">
        <f>+SalaryTable342[[#This Row],[LKR]]-SalaryTable342[[#This Row],[EPF 8%]]-SalaryTable342[[#This Row],[APIT]]</f>
        <v>0</v>
      </c>
    </row>
    <row r="38" spans="1:13" x14ac:dyDescent="0.25">
      <c r="A38" s="78"/>
      <c r="B38" s="81"/>
      <c r="C38" s="15"/>
      <c r="D38" s="30"/>
      <c r="E38" s="30"/>
      <c r="F38" s="56"/>
      <c r="G38" s="30"/>
      <c r="H38" s="29"/>
      <c r="I38" s="82"/>
      <c r="J38" s="82">
        <f>+SalaryTable342[[#This Row],[LKR]]*3%</f>
        <v>0</v>
      </c>
      <c r="K38" s="45"/>
      <c r="L38" s="42"/>
      <c r="M38" s="45">
        <f>+SalaryTable342[[#This Row],[LKR]]-SalaryTable342[[#This Row],[EPF 8%]]-SalaryTable342[[#This Row],[APIT]]</f>
        <v>0</v>
      </c>
    </row>
    <row r="39" spans="1:13" x14ac:dyDescent="0.25">
      <c r="B39" s="83"/>
      <c r="C39" s="15"/>
      <c r="D39" s="30">
        <f>SUM(D26:D38)</f>
        <v>18014.47</v>
      </c>
      <c r="E39" s="30"/>
      <c r="F39" s="55">
        <f t="shared" ref="F39:K39" si="0">SUM(F26:F38)</f>
        <v>17347.509999999998</v>
      </c>
      <c r="G39" s="30">
        <f t="shared" si="0"/>
        <v>7632905</v>
      </c>
      <c r="H39" s="30">
        <f t="shared" si="0"/>
        <v>610632</v>
      </c>
      <c r="I39" s="30">
        <f t="shared" si="0"/>
        <v>915950</v>
      </c>
      <c r="J39" s="84">
        <f t="shared" si="0"/>
        <v>228987</v>
      </c>
      <c r="K39" s="85">
        <f t="shared" si="0"/>
        <v>1807846</v>
      </c>
      <c r="L39" s="42"/>
      <c r="M39" s="30">
        <f>SUM(M26:M38)</f>
        <v>5214427</v>
      </c>
    </row>
    <row r="40" spans="1:13" x14ac:dyDescent="0.25">
      <c r="D40" s="49"/>
      <c r="F40" s="71"/>
      <c r="G40" s="49"/>
      <c r="H40" s="49"/>
      <c r="I40" s="49"/>
      <c r="J40" s="48"/>
      <c r="K40" s="49"/>
      <c r="M40" s="48"/>
    </row>
  </sheetData>
  <mergeCells count="3">
    <mergeCell ref="B2:M2"/>
    <mergeCell ref="B3:M3"/>
    <mergeCell ref="B24:M24"/>
  </mergeCells>
  <phoneticPr fontId="8" type="noConversion"/>
  <pageMargins left="0.7" right="0.7" top="0.75" bottom="0.75" header="0.3" footer="0.3"/>
  <pageSetup paperSize="9" scale="80" orientation="landscape" horizontalDpi="4294967293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2026-10-01T06:21:46Z</cp:lastPrinted>
  <dcterms:created xsi:type="dcterms:W3CDTF">2026-08-21T04:15:34Z</dcterms:created>
  <dcterms:modified xsi:type="dcterms:W3CDTF">2026-10-01T07:59:50Z</dcterms:modified>
</cp:coreProperties>
</file>