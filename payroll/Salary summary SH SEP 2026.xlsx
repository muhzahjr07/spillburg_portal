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DAILY FOLDER 2026-2027\Staff file2026-2027\Salary Summary  SH -2026-2027\"/>
    </mc:Choice>
  </mc:AlternateContent>
  <xr:revisionPtr revIDLastSave="0" documentId="13_ncr:1_{1EF05168-786D-4C40-A66B-9993A2ABEEEF}" xr6:coauthVersionLast="47" xr6:coauthVersionMax="47" xr10:uidLastSave="{00000000-0000-0000-0000-000000000000}"/>
  <bookViews>
    <workbookView xWindow="-120" yWindow="-120" windowWidth="20640" windowHeight="11040" xr2:uid="{CCE530A6-B620-45B3-A830-47A0A079730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" l="1"/>
  <c r="N19" i="1"/>
  <c r="E19" i="1"/>
  <c r="C21" i="1"/>
  <c r="D21" i="1"/>
  <c r="F21" i="1"/>
  <c r="G21" i="1"/>
  <c r="H21" i="1"/>
  <c r="N17" i="1"/>
  <c r="E15" i="1"/>
  <c r="N15" i="1" s="1"/>
  <c r="J21" i="1"/>
  <c r="K21" i="1"/>
  <c r="L21" i="1"/>
  <c r="E13" i="1"/>
  <c r="N13" i="1" s="1"/>
  <c r="M11" i="1"/>
  <c r="E11" i="1"/>
  <c r="N11" i="1" s="1"/>
  <c r="E21" i="1" l="1"/>
</calcChain>
</file>

<file path=xl/sharedStrings.xml><?xml version="1.0" encoding="utf-8"?>
<sst xmlns="http://schemas.openxmlformats.org/spreadsheetml/2006/main" count="30" uniqueCount="30">
  <si>
    <t>SPILLBURG HOLDINGS (PRIVATE) LIMITED</t>
  </si>
  <si>
    <t>No</t>
  </si>
  <si>
    <t>Employee Name</t>
  </si>
  <si>
    <t>Basic Salary</t>
  </si>
  <si>
    <t>Special Allowance</t>
  </si>
  <si>
    <t xml:space="preserve">       EARNINGS</t>
  </si>
  <si>
    <t xml:space="preserve">                    DEDUCTIONS</t>
  </si>
  <si>
    <t>Net Salary</t>
  </si>
  <si>
    <t>GR. TOTAL</t>
  </si>
  <si>
    <t>ETF</t>
  </si>
  <si>
    <t>EPF-spill</t>
  </si>
  <si>
    <t>EPF Employee</t>
  </si>
  <si>
    <t>Advance</t>
  </si>
  <si>
    <t>Deduction</t>
  </si>
  <si>
    <t>No pay</t>
  </si>
  <si>
    <t>Bonus</t>
  </si>
  <si>
    <t>Ravi</t>
  </si>
  <si>
    <t>Hemanthi</t>
  </si>
  <si>
    <t>Total</t>
  </si>
  <si>
    <t>Checked by: Hemanthi Basnayake</t>
  </si>
  <si>
    <t>Authorized by: M.H.K.M.Hameez</t>
  </si>
  <si>
    <t>Accountant</t>
  </si>
  <si>
    <t>Managing Director</t>
  </si>
  <si>
    <t>Staff Loan</t>
  </si>
  <si>
    <t>BILAL</t>
  </si>
  <si>
    <t xml:space="preserve">Insaaf </t>
  </si>
  <si>
    <t>ZAHARAN</t>
  </si>
  <si>
    <t xml:space="preserve">  STAFF SALARY FOR THE MONTH SEPTMBER  2026</t>
  </si>
  <si>
    <t>01.07.2026</t>
  </si>
  <si>
    <t>01.04.2026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</si>
</sst>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9"/>
      <color theme="1"/>
      <name val="Arial Narrow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43" fontId="0" fillId="0" borderId="0" xfId="1" applyFont="1"/>
    <xf numFmtId="0" fontId="0" fillId="0" borderId="3" xfId="0" applyBorder="1"/>
    <xf numFmtId="0" fontId="0" fillId="0" borderId="7" xfId="0" applyBorder="1"/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/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5" fillId="0" borderId="11" xfId="0" applyFont="1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9" fontId="2" fillId="0" borderId="4" xfId="0" applyNumberFormat="1" applyFont="1" applyBorder="1" applyAlignment="1">
      <alignment horizontal="center"/>
    </xf>
    <xf numFmtId="9" fontId="2" fillId="0" borderId="13" xfId="0" applyNumberFormat="1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0" fillId="0" borderId="12" xfId="0" applyNumberFormat="1" applyBorder="1"/>
    <xf numFmtId="0" fontId="6" fillId="0" borderId="3" xfId="0" applyFont="1" applyBorder="1"/>
    <xf numFmtId="0" fontId="0" fillId="0" borderId="9" xfId="0" applyBorder="1" applyAlignment="1">
      <alignment horizontal="center"/>
    </xf>
    <xf numFmtId="0" fontId="4" fillId="0" borderId="7" xfId="0" applyFont="1" applyBorder="1"/>
    <xf numFmtId="43" fontId="0" fillId="0" borderId="7" xfId="1" applyFont="1" applyBorder="1"/>
    <xf numFmtId="43" fontId="0" fillId="0" borderId="7" xfId="1" applyFont="1" applyBorder="1" applyAlignment="1">
      <alignment horizontal="center"/>
    </xf>
    <xf numFmtId="43" fontId="0" fillId="0" borderId="0" xfId="1" applyFont="1" applyBorder="1"/>
    <xf numFmtId="43" fontId="0" fillId="0" borderId="7" xfId="1" applyFont="1" applyBorder="1" applyAlignment="1">
      <alignment horizontal="right"/>
    </xf>
    <xf numFmtId="0" fontId="6" fillId="0" borderId="7" xfId="0" applyFont="1" applyBorder="1"/>
    <xf numFmtId="0" fontId="0" fillId="0" borderId="14" xfId="0" applyBorder="1"/>
    <xf numFmtId="0" fontId="4" fillId="0" borderId="11" xfId="0" applyFont="1" applyBorder="1"/>
    <xf numFmtId="43" fontId="0" fillId="0" borderId="12" xfId="1" applyFont="1" applyBorder="1"/>
    <xf numFmtId="43" fontId="0" fillId="0" borderId="12" xfId="1" applyFont="1" applyBorder="1" applyAlignment="1">
      <alignment horizontal="right"/>
    </xf>
    <xf numFmtId="43" fontId="0" fillId="0" borderId="5" xfId="1" applyFont="1" applyBorder="1"/>
    <xf numFmtId="164" fontId="6" fillId="0" borderId="11" xfId="0" applyNumberFormat="1" applyFont="1" applyBorder="1"/>
    <xf numFmtId="0" fontId="4" fillId="0" borderId="0" xfId="0" applyFont="1"/>
    <xf numFmtId="43" fontId="0" fillId="0" borderId="0" xfId="1" applyFont="1" applyBorder="1" applyAlignment="1">
      <alignment horizontal="right"/>
    </xf>
    <xf numFmtId="2" fontId="0" fillId="0" borderId="0" xfId="0" applyNumberFormat="1"/>
    <xf numFmtId="43" fontId="2" fillId="0" borderId="0" xfId="1" applyFont="1" applyBorder="1"/>
    <xf numFmtId="164" fontId="6" fillId="0" borderId="0" xfId="0" applyNumberFormat="1" applyFon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0" applyNumberFormat="1"/>
    <xf numFmtId="43" fontId="0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2" fillId="0" borderId="0" xfId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15" fontId="7" fillId="0" borderId="7" xfId="0" applyNumberFormat="1" applyFont="1" applyBorder="1" applyAlignment="1">
      <alignment horizontal="left"/>
    </xf>
    <xf numFmtId="0" fontId="7" fillId="0" borderId="7" xfId="0" applyFont="1" applyBorder="1" applyAlignment="1">
      <alignment horizontal="left"/>
    </xf>
    <xf numFmtId="43" fontId="4" fillId="0" borderId="15" xfId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43" fontId="2" fillId="0" borderId="5" xfId="1" applyFont="1" applyBorder="1"/>
    <xf numFmtId="43" fontId="2" fillId="0" borderId="4" xfId="1" applyFont="1" applyBorder="1"/>
    <xf numFmtId="15" fontId="8" fillId="0" borderId="7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38101</xdr:colOff>
      <xdr:row>4</xdr:row>
      <xdr:rowOff>76199</xdr:rowOff>
    </xdr:from>
    <xdr:to>
      <xdr:col>14</xdr:col>
      <xdr:colOff>638175</xdr:colOff>
      <xdr:row>7</xdr:row>
      <xdr:rowOff>371475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1C003D-916D-4560-9034-C290FD95D5CF}"/>
            </a:ext>
          </a:extLst>
        </xdr:cNvPr>
        <xdr:cNvSpPr txBox="1"/>
      </xdr:nvSpPr>
      <xdr:spPr>
        <a:xfrm rot="16200000">
          <a:off x="9277350" y="742950"/>
          <a:ext cx="1057276" cy="5048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Date</a:t>
          </a:r>
          <a:r>
            <a:rPr lang="en-US" sz="1100" baseline="0"/>
            <a:t> of Joined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6A07-C7F6-418B-B488-D5E43EEA6829}">
  <dimension ref="A3:O31"/>
  <sheetViews>
    <sheetView tabSelected="1" workbookViewId="0">
      <selection activeCell="P6" sqref="P6"/>
    </sheetView>
  </sheetViews>
  <sheetFormatPr defaultRowHeight="15" x14ac:dyDescent="0.25"/>
  <cols>
    <col min="2" max="2" width="12.42578125" customWidth="1"/>
    <col min="3" max="3" width="11.28515625" customWidth="1"/>
    <col min="4" max="4" width="12.5703125" customWidth="1"/>
    <col min="5" max="5" width="12.7109375" customWidth="1"/>
    <col min="6" max="6" width="11" customWidth="1"/>
    <col min="7" max="7" width="12.28515625" customWidth="1"/>
    <col min="8" max="9" width="13" customWidth="1"/>
    <col min="10" max="10" width="5.7109375" customWidth="1"/>
    <col min="11" max="11" width="5.5703125" customWidth="1"/>
    <col min="12" max="12" width="12.5703125" customWidth="1"/>
    <col min="13" max="13" width="6.42578125" customWidth="1"/>
    <col min="14" max="14" width="12.5703125" customWidth="1"/>
    <col min="15" max="15" width="12.42578125" customWidth="1"/>
  </cols>
  <sheetData>
    <row r="3" spans="1:15" ht="15.75" thickBot="1" x14ac:dyDescent="0.3">
      <c r="N3" s="1"/>
    </row>
    <row r="4" spans="1:15" ht="15.75" thickBot="1" x14ac:dyDescent="0.3">
      <c r="N4" s="1"/>
      <c r="O4" s="2"/>
    </row>
    <row r="5" spans="1:15" ht="21.75" thickBot="1" x14ac:dyDescent="0.4">
      <c r="A5" s="47" t="s">
        <v>0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2"/>
    </row>
    <row r="6" spans="1:15" ht="21.75" thickBot="1" x14ac:dyDescent="0.4">
      <c r="A6" s="49" t="s">
        <v>27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3"/>
    </row>
    <row r="7" spans="1:15" ht="16.5" thickBot="1" x14ac:dyDescent="0.3">
      <c r="A7" s="51" t="s">
        <v>1</v>
      </c>
      <c r="B7" s="53" t="s">
        <v>2</v>
      </c>
      <c r="C7" s="53" t="s">
        <v>3</v>
      </c>
      <c r="D7" s="55" t="s">
        <v>4</v>
      </c>
      <c r="E7" s="57" t="s">
        <v>5</v>
      </c>
      <c r="F7" s="58"/>
      <c r="G7" s="59"/>
      <c r="H7" s="57" t="s">
        <v>6</v>
      </c>
      <c r="I7" s="58"/>
      <c r="J7" s="58"/>
      <c r="K7" s="58"/>
      <c r="L7" s="59"/>
      <c r="M7" s="5"/>
      <c r="N7" s="63" t="s">
        <v>7</v>
      </c>
      <c r="O7" s="2"/>
    </row>
    <row r="8" spans="1:15" ht="32.25" thickBot="1" x14ac:dyDescent="0.3">
      <c r="A8" s="52"/>
      <c r="B8" s="54"/>
      <c r="C8" s="54"/>
      <c r="D8" s="56"/>
      <c r="E8" s="6" t="s">
        <v>8</v>
      </c>
      <c r="F8" s="7" t="s">
        <v>9</v>
      </c>
      <c r="G8" s="8" t="s">
        <v>10</v>
      </c>
      <c r="H8" s="4" t="s">
        <v>11</v>
      </c>
      <c r="I8" s="4" t="s">
        <v>23</v>
      </c>
      <c r="J8" s="9" t="s">
        <v>12</v>
      </c>
      <c r="K8" s="10" t="s">
        <v>13</v>
      </c>
      <c r="L8" s="7" t="s">
        <v>14</v>
      </c>
      <c r="M8" s="11" t="s">
        <v>15</v>
      </c>
      <c r="N8" s="64"/>
      <c r="O8" s="12"/>
    </row>
    <row r="9" spans="1:15" ht="15.75" thickBot="1" x14ac:dyDescent="0.3">
      <c r="A9" s="13"/>
      <c r="B9" s="14"/>
      <c r="C9" s="15"/>
      <c r="D9" s="13"/>
      <c r="E9" s="14"/>
      <c r="F9" s="16">
        <v>0.03</v>
      </c>
      <c r="G9" s="17">
        <v>0.12</v>
      </c>
      <c r="H9" s="18">
        <v>0.08</v>
      </c>
      <c r="I9" s="18"/>
      <c r="J9" s="19"/>
      <c r="K9" s="19"/>
      <c r="L9" s="19"/>
      <c r="M9" s="19"/>
      <c r="N9" s="65"/>
      <c r="O9" s="20"/>
    </row>
    <row r="10" spans="1:15" ht="15.75" x14ac:dyDescent="0.25">
      <c r="A10" s="21"/>
      <c r="B10" s="22"/>
      <c r="C10" s="23"/>
      <c r="D10" s="24"/>
      <c r="E10" s="23"/>
      <c r="F10" s="26"/>
      <c r="G10" s="26"/>
      <c r="H10" s="26"/>
      <c r="I10" s="26"/>
      <c r="J10" s="24"/>
      <c r="K10" s="24"/>
      <c r="L10" s="24">
        <v>0</v>
      </c>
      <c r="M10" s="23">
        <v>0</v>
      </c>
      <c r="N10" s="37"/>
      <c r="O10" s="27"/>
    </row>
    <row r="11" spans="1:15" ht="15.75" x14ac:dyDescent="0.25">
      <c r="A11" s="21">
        <v>2</v>
      </c>
      <c r="B11" s="22" t="s">
        <v>16</v>
      </c>
      <c r="C11" s="23">
        <v>25000</v>
      </c>
      <c r="D11" s="24">
        <v>20000</v>
      </c>
      <c r="E11" s="23">
        <f>C11+D11</f>
        <v>45000</v>
      </c>
      <c r="F11" s="26">
        <v>750</v>
      </c>
      <c r="G11" s="26">
        <v>3000</v>
      </c>
      <c r="H11" s="26">
        <v>2000</v>
      </c>
      <c r="I11" s="26"/>
      <c r="J11" s="24">
        <v>0</v>
      </c>
      <c r="K11" s="24">
        <v>0</v>
      </c>
      <c r="L11" s="24">
        <v>0</v>
      </c>
      <c r="M11" s="23">
        <f>SUM(J11:L11)</f>
        <v>0</v>
      </c>
      <c r="N11" s="37">
        <f>+E11-H11</f>
        <v>43000</v>
      </c>
      <c r="O11" s="67">
        <v>44525</v>
      </c>
    </row>
    <row r="12" spans="1:15" ht="15.75" x14ac:dyDescent="0.25">
      <c r="A12" s="21"/>
      <c r="B12" s="22"/>
      <c r="C12" s="23"/>
      <c r="D12" s="24"/>
      <c r="E12" s="23"/>
      <c r="F12" s="26"/>
      <c r="G12" s="26"/>
      <c r="H12" s="26"/>
      <c r="I12" s="26"/>
      <c r="J12" s="26"/>
      <c r="K12" s="26"/>
      <c r="L12" s="26">
        <v>0</v>
      </c>
      <c r="M12" s="23"/>
      <c r="N12" s="45"/>
      <c r="O12" s="60"/>
    </row>
    <row r="13" spans="1:15" ht="15.75" x14ac:dyDescent="0.25">
      <c r="A13" s="21">
        <v>3</v>
      </c>
      <c r="B13" s="22" t="s">
        <v>17</v>
      </c>
      <c r="C13" s="23">
        <v>40000</v>
      </c>
      <c r="D13" s="24">
        <v>37500</v>
      </c>
      <c r="E13" s="23">
        <f>+D13+C13</f>
        <v>77500</v>
      </c>
      <c r="F13" s="24">
        <v>1200</v>
      </c>
      <c r="G13" s="26">
        <v>4800</v>
      </c>
      <c r="H13" s="26">
        <v>3200</v>
      </c>
      <c r="I13" s="26"/>
      <c r="J13" s="26">
        <v>0</v>
      </c>
      <c r="K13" s="26">
        <v>0</v>
      </c>
      <c r="L13" s="26">
        <v>0</v>
      </c>
      <c r="M13" s="23">
        <v>0</v>
      </c>
      <c r="N13" s="45">
        <f>+E13-H13</f>
        <v>74300</v>
      </c>
      <c r="O13" s="61">
        <v>45537</v>
      </c>
    </row>
    <row r="14" spans="1:15" ht="15.75" x14ac:dyDescent="0.25">
      <c r="A14" s="21"/>
      <c r="B14" s="22"/>
      <c r="C14" s="23"/>
      <c r="D14" s="24"/>
      <c r="E14" s="23"/>
      <c r="F14" s="24"/>
      <c r="G14" s="26"/>
      <c r="H14" s="26"/>
      <c r="I14" s="26"/>
      <c r="J14" s="26"/>
      <c r="K14" s="26"/>
      <c r="L14" s="26"/>
      <c r="M14" s="23"/>
      <c r="N14" s="45"/>
      <c r="O14" s="61"/>
    </row>
    <row r="15" spans="1:15" ht="15.75" x14ac:dyDescent="0.25">
      <c r="A15" s="21">
        <v>4</v>
      </c>
      <c r="B15" s="22" t="s">
        <v>24</v>
      </c>
      <c r="C15" s="23"/>
      <c r="D15" s="24">
        <v>20000</v>
      </c>
      <c r="E15" s="23">
        <f>+D15</f>
        <v>20000</v>
      </c>
      <c r="F15" s="24">
        <v>0</v>
      </c>
      <c r="G15" s="26">
        <v>0</v>
      </c>
      <c r="H15" s="26">
        <v>0</v>
      </c>
      <c r="I15" s="26"/>
      <c r="J15" s="26"/>
      <c r="K15" s="26"/>
      <c r="L15" s="26">
        <v>0</v>
      </c>
      <c r="M15" s="23"/>
      <c r="N15" s="45">
        <f>+E15-L15</f>
        <v>20000</v>
      </c>
      <c r="O15" s="62" t="s">
        <v>29</v>
      </c>
    </row>
    <row r="16" spans="1:15" ht="15.75" x14ac:dyDescent="0.25">
      <c r="A16" s="21"/>
      <c r="B16" s="22"/>
      <c r="C16" s="23"/>
      <c r="D16" s="24"/>
      <c r="E16" s="23"/>
      <c r="F16" s="24"/>
      <c r="G16" s="26"/>
      <c r="H16" s="26"/>
      <c r="I16" s="26"/>
      <c r="J16" s="26"/>
      <c r="K16" s="26"/>
      <c r="L16" s="26">
        <v>0</v>
      </c>
      <c r="M16" s="23"/>
      <c r="N16" s="45"/>
      <c r="O16" s="62"/>
    </row>
    <row r="17" spans="1:15" ht="15.75" x14ac:dyDescent="0.25">
      <c r="A17" s="21">
        <v>5</v>
      </c>
      <c r="B17" s="22" t="s">
        <v>25</v>
      </c>
      <c r="C17" s="23"/>
      <c r="D17" s="24">
        <v>15000</v>
      </c>
      <c r="E17" s="23">
        <v>15000</v>
      </c>
      <c r="F17" s="24">
        <v>0</v>
      </c>
      <c r="G17" s="26">
        <v>0</v>
      </c>
      <c r="H17" s="26">
        <v>0</v>
      </c>
      <c r="I17" s="26"/>
      <c r="J17" s="26"/>
      <c r="K17" s="26"/>
      <c r="L17" s="26">
        <v>6000</v>
      </c>
      <c r="M17" s="23"/>
      <c r="N17" s="45">
        <f>+E17-L17</f>
        <v>9000</v>
      </c>
      <c r="O17" s="62" t="s">
        <v>28</v>
      </c>
    </row>
    <row r="18" spans="1:15" ht="15.75" x14ac:dyDescent="0.25">
      <c r="A18" s="21"/>
      <c r="B18" s="22"/>
      <c r="C18" s="23"/>
      <c r="D18" s="24"/>
      <c r="E18" s="23"/>
      <c r="F18" s="24"/>
      <c r="G18" s="26"/>
      <c r="H18" s="26"/>
      <c r="I18" s="26"/>
      <c r="J18" s="26"/>
      <c r="K18" s="26"/>
      <c r="L18" s="26"/>
      <c r="M18" s="23"/>
      <c r="N18" s="45"/>
      <c r="O18" s="62"/>
    </row>
    <row r="19" spans="1:15" ht="15.75" x14ac:dyDescent="0.25">
      <c r="A19" s="21">
        <v>6</v>
      </c>
      <c r="B19" s="22" t="s">
        <v>26</v>
      </c>
      <c r="C19" s="23">
        <v>35000</v>
      </c>
      <c r="D19" s="24">
        <v>30000</v>
      </c>
      <c r="E19" s="23">
        <f>+D19+C19</f>
        <v>65000</v>
      </c>
      <c r="F19" s="24"/>
      <c r="G19" s="26"/>
      <c r="H19" s="26"/>
      <c r="I19" s="26"/>
      <c r="J19" s="26"/>
      <c r="K19" s="26"/>
      <c r="L19" s="26">
        <v>2167</v>
      </c>
      <c r="M19" s="23"/>
      <c r="N19" s="45">
        <f>+E19-L19</f>
        <v>62833</v>
      </c>
      <c r="O19" s="61">
        <v>46266</v>
      </c>
    </row>
    <row r="20" spans="1:15" ht="16.5" thickBot="1" x14ac:dyDescent="0.3">
      <c r="A20" s="21"/>
      <c r="B20" s="22"/>
      <c r="C20" s="23"/>
      <c r="D20" s="24"/>
      <c r="E20" s="23"/>
      <c r="F20" s="26"/>
      <c r="G20" s="26"/>
      <c r="H20" s="26"/>
      <c r="I20" s="26"/>
      <c r="J20" s="26"/>
      <c r="K20" s="26"/>
      <c r="L20" s="26"/>
      <c r="M20" s="23"/>
      <c r="N20" s="45"/>
      <c r="O20" s="27"/>
    </row>
    <row r="21" spans="1:15" ht="16.5" thickBot="1" x14ac:dyDescent="0.3">
      <c r="A21" s="28"/>
      <c r="B21" s="29" t="s">
        <v>18</v>
      </c>
      <c r="C21" s="30">
        <f t="shared" ref="C21:H21" si="0">SUM(C11:C20)</f>
        <v>100000</v>
      </c>
      <c r="D21" s="31">
        <f t="shared" si="0"/>
        <v>122500</v>
      </c>
      <c r="E21" s="30">
        <f t="shared" si="0"/>
        <v>222500</v>
      </c>
      <c r="F21" s="31">
        <f t="shared" si="0"/>
        <v>1950</v>
      </c>
      <c r="G21" s="32">
        <f t="shared" si="0"/>
        <v>7800</v>
      </c>
      <c r="H21" s="30">
        <f t="shared" si="0"/>
        <v>5200</v>
      </c>
      <c r="I21" s="32">
        <v>0</v>
      </c>
      <c r="J21" s="32">
        <f>SUM(J10:J20)</f>
        <v>0</v>
      </c>
      <c r="K21" s="30">
        <f>SUM(K10:K20)</f>
        <v>0</v>
      </c>
      <c r="L21" s="30">
        <f>SUM(L10:L20)</f>
        <v>8167</v>
      </c>
      <c r="M21" s="30"/>
      <c r="N21" s="66">
        <f>+N19+N17+N15+N13+N11</f>
        <v>209133</v>
      </c>
      <c r="O21" s="33"/>
    </row>
    <row r="22" spans="1:15" ht="15.75" x14ac:dyDescent="0.25">
      <c r="B22" s="34"/>
      <c r="C22" s="25"/>
      <c r="D22" s="35"/>
      <c r="E22" s="25"/>
      <c r="F22" s="35"/>
      <c r="G22" s="25"/>
      <c r="H22" s="25"/>
      <c r="I22" s="25"/>
      <c r="J22" s="25"/>
      <c r="K22" s="25"/>
      <c r="L22" s="25"/>
      <c r="M22" s="25"/>
      <c r="N22" s="37"/>
      <c r="O22" s="38"/>
    </row>
    <row r="23" spans="1:15" x14ac:dyDescent="0.25">
      <c r="B23" s="25"/>
      <c r="C23" s="44"/>
      <c r="D23" s="25"/>
      <c r="E23" s="25"/>
      <c r="F23" s="35"/>
      <c r="G23" s="35"/>
      <c r="H23" s="25"/>
      <c r="I23" s="25"/>
      <c r="J23" s="25"/>
      <c r="K23" s="25"/>
      <c r="L23" s="25"/>
      <c r="M23" s="25"/>
      <c r="N23" s="37"/>
      <c r="O23" s="38"/>
    </row>
    <row r="24" spans="1:15" x14ac:dyDescent="0.25">
      <c r="B24" s="37"/>
      <c r="C24" s="45"/>
      <c r="D24" s="37"/>
      <c r="E24" s="37"/>
      <c r="F24" s="46"/>
      <c r="G24" s="35"/>
      <c r="H24" s="25"/>
      <c r="I24" s="25"/>
      <c r="J24" s="25"/>
      <c r="K24" s="25"/>
      <c r="L24" s="25"/>
      <c r="M24" s="25"/>
      <c r="N24" s="37"/>
      <c r="O24" s="38"/>
    </row>
    <row r="25" spans="1:15" x14ac:dyDescent="0.25">
      <c r="B25" s="37"/>
      <c r="C25" s="45"/>
      <c r="D25" s="37"/>
      <c r="E25" s="37"/>
      <c r="F25" s="46"/>
      <c r="G25" s="35"/>
      <c r="H25" s="25"/>
      <c r="I25" s="25"/>
      <c r="J25" s="25"/>
      <c r="K25" s="25"/>
      <c r="L25" s="25"/>
      <c r="M25" s="25"/>
      <c r="N25" s="37"/>
      <c r="O25" s="38"/>
    </row>
    <row r="26" spans="1:15" x14ac:dyDescent="0.25">
      <c r="B26" s="37"/>
      <c r="C26" s="45"/>
      <c r="D26" s="37"/>
      <c r="E26" s="37"/>
      <c r="F26" s="46"/>
      <c r="G26" s="35"/>
      <c r="H26" s="25"/>
      <c r="I26" s="25"/>
    </row>
    <row r="27" spans="1:15" x14ac:dyDescent="0.25">
      <c r="B27" s="35"/>
      <c r="C27" s="25"/>
      <c r="D27" s="36"/>
      <c r="E27" s="35"/>
      <c r="F27" s="25"/>
      <c r="G27" s="25"/>
      <c r="H27" s="43"/>
      <c r="I27" s="43"/>
    </row>
    <row r="28" spans="1:15" x14ac:dyDescent="0.25">
      <c r="H28" s="43"/>
      <c r="I28" s="43"/>
      <c r="M28" s="25"/>
    </row>
    <row r="29" spans="1:15" x14ac:dyDescent="0.25">
      <c r="B29" s="40" t="s">
        <v>19</v>
      </c>
      <c r="J29" s="40" t="s">
        <v>20</v>
      </c>
    </row>
    <row r="30" spans="1:15" x14ac:dyDescent="0.25">
      <c r="B30" s="41" t="s">
        <v>21</v>
      </c>
      <c r="J30" t="s">
        <v>22</v>
      </c>
    </row>
    <row r="31" spans="1:15" x14ac:dyDescent="0.25">
      <c r="B31" s="39"/>
      <c r="J31" s="42"/>
    </row>
  </sheetData>
  <mergeCells count="9">
    <mergeCell ref="A5:N5"/>
    <mergeCell ref="A6:N6"/>
    <mergeCell ref="A7:A8"/>
    <mergeCell ref="B7:B8"/>
    <mergeCell ref="C7:C8"/>
    <mergeCell ref="D7:D8"/>
    <mergeCell ref="E7:G7"/>
    <mergeCell ref="H7:L7"/>
    <mergeCell ref="N7:N8"/>
  </mergeCells>
  <pageMargins left="0.25" right="0.25" top="0.75" bottom="0.75" header="0.3" footer="0.3"/>
  <pageSetup scale="8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2026-10-05T11:39:28Z</cp:lastPrinted>
  <dcterms:created xsi:type="dcterms:W3CDTF">2025-05-05T04:49:09Z</dcterms:created>
  <dcterms:modified xsi:type="dcterms:W3CDTF">2026-10-05T12:25:50Z</dcterms:modified>
</cp:coreProperties>
</file>